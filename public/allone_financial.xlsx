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P&amp;L" sheetId="1" state="visible" r:id="rId3"/>
    <sheet name="Key Assumptions" sheetId="2" state="visible" r:id="rId4"/>
    <sheet name="Unit Economics" sheetId="3" state="visible" r:id="rId5"/>
    <sheet name="Cash Flow" sheetId="4" state="visible" r:id="rId6"/>
    <sheet name="Balance Sheet" sheetId="5" state="visible" r:id="rId7"/>
    <sheet name="Use of Fun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<sst xmlns="http://schemas.openxmlformats.org/spreadsheetml/2006/main" count="233" uniqueCount="194">
  <si>
    <t xml:space="preserve">ALLONE MONTHLY P&amp;L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</si>
  <si>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</si>
  <si>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</si>
  <si>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</si>
  <si>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</si>
  <si>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</si>
  <si>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</si>
  <si>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</si>
  <si>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</si>
  <si>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</si>
  <si>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</si>
  <si>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</si>
  <si>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</si>
  <si>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</si>
  <si>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</si>
  <si>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</si>
  <si>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</si>
  <si>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</si>
  <si>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</si>
  <si>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</si>
  <si>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</si>
  <si>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</si>
  <si>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</si>
  <si>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</si>
  <si>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</si>
  <si>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</si>
  <si>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Y2 TOTAL</t>
  </si>
  <si>
    <t xml:space="preserve">2-YR TOTAL</t>
  </si>
  <si>
    <t xml:space="preserve">HEADCOUNT</t>
  </si>
  <si>
    <t xml:space="preserve">Sales Team</t>
  </si>
  <si>
    <t xml:space="preserve">Tech Team</t>
  </si>
  <si>
    <t xml:space="preserve">PROJECTS</t>
  </si>
  <si>
    <t xml:space="preserve">New Projects</t>
  </si>
  <si>
    <t xml:space="preserve">Cumulative Projects</t>
  </si>
  <si>
    <t xml:space="preserve">REVENUE</t>
  </si>
  <si>
    <t xml:space="preserve">Total Revenue</t>
  </si>
  <si>
    <t xml:space="preserve">COST OF REVENUE</t>
  </si>
  <si>
    <t xml:space="preserve">Infrastructure</t>
  </si>
  <si>
    <t xml:space="preserve">Sales Commission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</si>
  <si>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</si>
  <si>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</si>
  <si>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</si>
  <si>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</si>
  <si>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Tech Team Salaries</t>
  </si>
  <si>
    <t xml:space="preserve">Founder Salaries</t>
  </si>
  <si>
    <t xml:space="preserve">Marketing</t>
  </si>
  <si>
    <t xml:space="preserve">Depreciation</t>
  </si>
  <si>
    <t xml:space="preserve">Total OpEx</t>
  </si>
  <si>
    <t xml:space="preserve">EBITDA</t>
  </si>
  <si>
    <t xml:space="preserve">EBITDA Margin %</t>
  </si>
  <si>
    <t xml:space="preserve">NET INCOME</t>
  </si>
  <si>
    <t xml:space="preserve">Net Margin %</t>
  </si>
  <si>
    <t xml:space="preserve">INVESTMENT PAYBACK</t>
  </si>
  <si>
    <t xml:space="preserve">Cumulative Net Income</t>
  </si>
  <si>
    <t xml:space="preserve">Investment Remaining</t>
  </si>
  <si>
    <t xml:space="preserve">Payback Achieved?</t>
  </si>
  <si>
    <t xml:space="preserve">KEY ASSUMPTIONS</t>
  </si>
  <si>
    <t xml:space="preserve">Assumption</t>
  </si>
  <si>
    <t xml:space="preserve">Value</t>
  </si>
  <si>
    <t xml:space="preserve">Notes</t>
  </si>
  <si>
    <t xml:space="preserve">PRICING</t>
  </si>
  <si>
    <t xml:space="preserve">Price per project (M1-M5)</t>
  </si>
  <si>
    <t xml:space="preserve">Early clients</t>
  </si>
  <si>
    <t xml:space="preserve">Price per project (M6-M12)</t>
  </si>
  <si>
    <t xml:space="preserve">Growing reputation</t>
  </si>
  <si>
    <t xml:space="preserve">Price per project (M13-M24)</t>
  </si>
  <si>
    <t xml:space="preserve">Enterprise clients</t>
  </si>
  <si>
    <t xml:space="preserve">Sales commission</t>
  </si>
  <si>
    <t xml:space="preserve">10% to affiliates</t>
  </si>
  <si>
    <t xml:space="preserve">TECH SALARIES</t>
  </si>
  <si>
    <t xml:space="preserve">New hire (0-6 months)</t>
  </si>
  <si>
    <t xml:space="preserve">Starting salary</t>
  </si>
  <si>
    <t xml:space="preserve">Mid-level (6-12 months)</t>
  </si>
  <si>
    <t xml:space="preserve">After 6 months</t>
  </si>
  <si>
    <t xml:space="preserve">Senior (12+ months)</t>
  </si>
  <si>
    <t xml:space="preserve">After 12 months</t>
  </si>
  <si>
    <t xml:space="preserve">BLENDED RATES (for model)</t>
  </si>
  <si>
    <t xml:space="preserve">M1-M6 blended rate</t>
  </si>
  <si>
    <t xml:space="preserve">All new hires</t>
  </si>
  <si>
    <t xml:space="preserve">M7-M12 blended rate</t>
  </si>
  <si>
    <t xml:space="preserve">~50% senior, ~50% new</t>
  </si>
  <si>
    <t xml:space="preserve">M13-M24 blended rate</t>
  </si>
  <si>
    <t xml:space="preserve">Mix of tenure levels</t>
  </si>
  <si>
    <t xml:space="preserve">OTHER COSTS</t>
  </si>
  <si>
    <t xml:space="preserve">Founder salary</t>
  </si>
  <si>
    <t xml:space="preserve">Monthly</t>
  </si>
  <si>
    <t xml:space="preserve">Marketing (M1-M6)</t>
  </si>
  <si>
    <t xml:space="preserve">Marketing (M7-M12)</t>
  </si>
  <si>
    <t xml:space="preserve">Monthly, scaled</t>
  </si>
  <si>
    <t xml:space="preserve">Marketing (M13+)</t>
  </si>
  <si>
    <t xml:space="preserve">Monthly, mature</t>
  </si>
  <si>
    <t xml:space="preserve">Infrastructure (M1-M6)</t>
  </si>
  <si>
    <t xml:space="preserve">5% of revenue (cloud APIs)</t>
  </si>
  <si>
    <t xml:space="preserve">Infrastructure (M7+)</t>
  </si>
  <si>
    <t xml:space="preserve">0.5% of revenue (own GPUs)</t>
  </si>
  <si>
    <t xml:space="preserve">INVESTMENT</t>
  </si>
  <si>
    <t xml:space="preserve">Stage 1 (Pre-seed)</t>
  </si>
  <si>
    <t xml:space="preserve">10% equity, M1</t>
  </si>
  <si>
    <t xml:space="preserve">Stage 2 (Seed)</t>
  </si>
  <si>
    <t xml:space="preserve">15% equity, M7</t>
  </si>
  <si>
    <t xml:space="preserve">Total investment</t>
  </si>
  <si>
    <t xml:space="preserve">25% total equity</t>
  </si>
  <si>
    <t xml:space="preserve">TEAM</t>
  </si>
  <si>
    <t xml:space="preserve">Starting tech team (M1)</t>
  </si>
  <si>
    <t xml:space="preserve">Developers</t>
  </si>
  <si>
    <t xml:space="preserve">Tech team M12</t>
  </si>
  <si>
    <t xml:space="preserve">End of Year 1</t>
  </si>
  <si>
    <t xml:space="preserve">Tech team M24</t>
  </si>
  <si>
    <t xml:space="preserve">End of Year 2</t>
  </si>
  <si>
    <t xml:space="preserve">Sales team</t>
  </si>
  <si>
    <t xml:space="preserve">Commission-only</t>
  </si>
  <si>
    <t xml:space="preserve">No fixed salary cost</t>
  </si>
  <si>
    <t xml:space="preserve">DEPRECIATION</t>
  </si>
  <si>
    <t xml:space="preserve">Depreciation period (months)</t>
  </si>
  <si>
    <t xml:space="preserve">5 years</t>
  </si>
  <si>
    <t xml:space="preserve">Initial equipment (M1)</t>
  </si>
  <si>
    <t xml:space="preserve">Computers, setup</t>
  </si>
  <si>
    <t xml:space="preserve">Stage 2 equipment (M7)</t>
  </si>
  <si>
    <t xml:space="preserve">GPU infrastructure</t>
  </si>
  <si>
    <t xml:space="preserve">UNIT ECONOMICS BY PRICING TIER</t>
  </si>
  <si>
    <t xml:space="preserve">Tier 1</t>
  </si>
  <si>
    <t xml:space="preserve">Tier 2</t>
  </si>
  <si>
    <t xml:space="preserve">Tier 3</t>
  </si>
  <si>
    <t xml:space="preserve">REVENUE PER PROJECT</t>
  </si>
  <si>
    <t xml:space="preserve">M1-M5</t>
  </si>
  <si>
    <t xml:space="preserve">M6-M12</t>
  </si>
  <si>
    <t xml:space="preserve">M13-M24</t>
  </si>
  <si>
    <t xml:space="preserve">Price per project</t>
  </si>
  <si>
    <t xml:space="preserve">Sales commission (10%)</t>
  </si>
  <si>
    <t xml:space="preserve">Net revenue to ALLONE</t>
  </si>
  <si>
    <t xml:space="preserve">COSTS PER PROJECT</t>
  </si>
  <si>
    <t xml:space="preserve">Infrastructure cost</t>
  </si>
  <si>
    <t xml:space="preserve">Delivery labor</t>
  </si>
  <si>
    <t xml:space="preserve">Total variable cost</t>
  </si>
  <si>
    <t xml:space="preserve">MARGINS</t>
  </si>
  <si>
    <t xml:space="preserve">Gross profit per project</t>
  </si>
  <si>
    <t xml:space="preserve">Gross margin %</t>
  </si>
  <si>
    <t xml:space="preserve">BREAK-EVEN</t>
  </si>
  <si>
    <t xml:space="preserve">Monthly fixed costs (M1-M6)</t>
  </si>
  <si>
    <t xml:space="preserve">Monthly fixed costs (M7+)</t>
  </si>
  <si>
    <t xml:space="preserve">Break-even projects/month</t>
  </si>
  <si>
    <t xml:space="preserve">MODEL TYPE: One-time $2,500 project fee</t>
  </si>
  <si>
    <t xml:space="preserve">NOTES</t>
  </si>
  <si>
    <t xml:space="preserve">Tier 1: Early clients, proving model</t>
  </si>
  <si>
    <t xml:space="preserve">Tier 2: Growing reputation, more complex projects</t>
  </si>
  <si>
    <t xml:space="preserve">Tier 3: Enterprise clients + own GPU infrastructure (0.5% vs 5% API cost)</t>
  </si>
  <si>
    <t xml:space="preserve">TOTAL</t>
  </si>
  <si>
    <t xml:space="preserve">CASH FLOW</t>
  </si>
  <si>
    <t xml:space="preserve">Opening Balance</t>
  </si>
  <si>
    <t xml:space="preserve">CASH IN</t>
  </si>
  <si>
    <t xml:space="preserve">  Investment Received</t>
  </si>
  <si>
    <t xml:space="preserve">  Revenue</t>
  </si>
  <si>
    <t xml:space="preserve">Total Cash In</t>
  </si>
  <si>
    <t xml:space="preserve">CASH OUT</t>
  </si>
  <si>
    <t xml:space="preserve">  COGS</t>
  </si>
  <si>
    <t xml:space="preserve">  Operating Expenses (Cash)</t>
  </si>
  <si>
    <t xml:space="preserve">  Taxes</t>
  </si>
  <si>
    <t xml:space="preserve">  CapEx (Equipment)</t>
  </si>
  <si>
    <t xml:space="preserve">Total Cash Out</t>
  </si>
  <si>
    <t xml:space="preserve">Net Cash Flow</t>
  </si>
  <si>
    <t xml:space="preserve">Closing Balance</t>
  </si>
  <si>
    <t xml:space="preserve">Runway (months)</t>
  </si>
  <si>
    <t xml:space="preserve">Break-Even?</t>
  </si>
  <si>
    <t xml:space="preserve">BALANCE SHEET</t>
  </si>
  <si>
    <t xml:space="preserve">As of Month End</t>
  </si>
  <si>
    <t xml:space="preserve">ASSETS</t>
  </si>
  <si>
    <t xml:space="preserve">Cash</t>
  </si>
  <si>
    <t xml:space="preserve">Equipment (Gross)</t>
  </si>
  <si>
    <t xml:space="preserve">Accumulated Depreciation</t>
  </si>
  <si>
    <t xml:space="preserve">Net Fixed Assets</t>
  </si>
  <si>
    <t xml:space="preserve">TOTAL ASSETS</t>
  </si>
  <si>
    <t xml:space="preserve">LIABILITIES &amp; EQUITY</t>
  </si>
  <si>
    <t xml:space="preserve">Liabilities</t>
  </si>
  <si>
    <t xml:space="preserve">Contributed Capital</t>
  </si>
  <si>
    <t xml:space="preserve">Retained Earnings</t>
  </si>
  <si>
    <t xml:space="preserve">Total Equity</t>
  </si>
  <si>
    <t xml:space="preserve">TOTAL LIABILITIES + EQUITY</t>
  </si>
  <si>
    <t xml:space="preserve">Balance Check (should be 0)</t>
  </si>
  <si>
    <t xml:space="preserve">USE OF FUNDS</t>
  </si>
  <si>
    <t xml:space="preserve">STAGE 1: PRE-SEED</t>
  </si>
  <si>
    <t xml:space="preserve">$40,000</t>
  </si>
  <si>
    <t xml:space="preserve">M1-6</t>
  </si>
  <si>
    <t xml:space="preserve">Tech Team (6 months)</t>
  </si>
  <si>
    <t xml:space="preserve">Founder Salary (6 months)</t>
  </si>
  <si>
    <t xml:space="preserve">Marketing (6 months)</t>
  </si>
  <si>
    <t xml:space="preserve">Total</t>
  </si>
  <si>
    <t xml:space="preserve">STAGE 2: SEED</t>
  </si>
  <si>
    <t xml:space="preserve">$200,000</t>
  </si>
  <si>
    <t xml:space="preserve">M7-18</t>
  </si>
  <si>
    <t xml:space="preserve">Infrastructure (4×A100)</t>
  </si>
  <si>
    <t xml:space="preserve">Team Expansion</t>
  </si>
  <si>
    <t xml:space="preserve">Go-to-Market</t>
  </si>
  <si>
    <t xml:space="preserve">Product &amp; R&amp;D</t>
  </si>
  <si>
    <t xml:space="preserve">Contingency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</si>
</sst>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%"/>
    <numFmt numFmtId="168" formatCode="0%"/>
    <numFmt numFmtId="169" formatCode="_(\$* #,##0_);_(\$* \(#,##0\);_(\$* \-??_);_(@_)"/>
    <numFmt numFmtId="170" formatCode="[$$-409]#,##0.00;[RED]\-[$$-409]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006600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2F5496"/>
      </patternFill>
    </fill>
    <fill>
      <patternFill patternType="solid">
        <fgColor rgb="FFC6EFCE"/>
        <bgColor rgb="FFE2EFDA"/>
      </patternFill>
    </fill>
    <fill>
      <patternFill patternType="solid">
        <fgColor rgb="FFD6DCE4"/>
        <bgColor rgb="FFD6DCE5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6DCE5"/>
        <bgColor rgb="FFD6DCE4"/>
      </patternFill>
    </fill>
    <fill>
      <patternFill patternType="solid">
        <fgColor rgb="FF2F5496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D6DCE4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7" min="2" style="1" width="11"/>
    <col collapsed="false" customWidth="true" hidden="false" outlineLevel="0" max="28" min="28" style="1" width="12"/>
  </cols>
  <sheetData>
    <row r="1" customFormat="false" ht="17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6" t="s">
        <v>27</v>
      </c>
    </row>
    <row r="2" customFormat="false" ht="15" hidden="false" customHeight="true" outlineLevel="0" collapsed="false">
      <c r="A2" s="7" t="s">
        <v>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customFormat="false" ht="15" hidden="false" customHeight="true" outlineLevel="0" collapsed="false">
      <c r="A3" s="10" t="s">
        <v>29</v>
      </c>
      <c r="B3" s="11" t="n">
        <v>4</v>
      </c>
      <c r="C3" s="11" t="n">
        <v>4</v>
      </c>
      <c r="D3" s="11" t="n">
        <v>5</v>
      </c>
      <c r="E3" s="11" t="n">
        <v>5</v>
      </c>
      <c r="F3" s="11" t="n">
        <v>6</v>
      </c>
      <c r="G3" s="11" t="n">
        <v>6</v>
      </c>
      <c r="H3" s="11" t="n">
        <v>7</v>
      </c>
      <c r="I3" s="11" t="n">
        <v>8</v>
      </c>
      <c r="J3" s="11" t="n">
        <v>8</v>
      </c>
      <c r="K3" s="11" t="n">
        <v>9</v>
      </c>
      <c r="L3" s="11" t="n">
        <v>9</v>
      </c>
      <c r="M3" s="11" t="n">
        <v>10</v>
      </c>
      <c r="N3" s="12" t="n">
        <v>10</v>
      </c>
      <c r="O3" s="11" t="n">
        <v>10</v>
      </c>
      <c r="P3" s="11" t="n">
        <v>11</v>
      </c>
      <c r="Q3" s="11" t="n">
        <v>11</v>
      </c>
      <c r="R3" s="11" t="n">
        <v>12</v>
      </c>
      <c r="S3" s="11" t="n">
        <v>12</v>
      </c>
      <c r="T3" s="11" t="n">
        <v>13</v>
      </c>
      <c r="U3" s="11" t="n">
        <v>13</v>
      </c>
      <c r="V3" s="11" t="n">
        <v>14</v>
      </c>
      <c r="W3" s="11" t="n">
        <v>14</v>
      </c>
      <c r="X3" s="11" t="n">
        <v>15</v>
      </c>
      <c r="Y3" s="11" t="n">
        <v>15</v>
      </c>
      <c r="Z3" s="11" t="n">
        <v>15</v>
      </c>
      <c r="AA3" s="12"/>
      <c r="AB3" s="13" t="n">
        <f aca="false">Z3</f>
        <v>15</v>
      </c>
    </row>
    <row r="4" customFormat="false" ht="15" hidden="false" customHeight="true" outlineLevel="0" collapsed="false">
      <c r="A4" s="10" t="s">
        <v>30</v>
      </c>
      <c r="B4" s="11" t="n">
        <v>2</v>
      </c>
      <c r="C4" s="11" t="n">
        <v>2</v>
      </c>
      <c r="D4" s="11" t="n">
        <v>2</v>
      </c>
      <c r="E4" s="11" t="n">
        <v>3</v>
      </c>
      <c r="F4" s="11" t="n">
        <v>3</v>
      </c>
      <c r="G4" s="11" t="n">
        <v>4</v>
      </c>
      <c r="H4" s="11" t="n">
        <v>4</v>
      </c>
      <c r="I4" s="11" t="n">
        <v>4</v>
      </c>
      <c r="J4" s="11" t="n">
        <v>5</v>
      </c>
      <c r="K4" s="11" t="n">
        <v>5</v>
      </c>
      <c r="L4" s="11" t="n">
        <v>6</v>
      </c>
      <c r="M4" s="11" t="n">
        <v>6</v>
      </c>
      <c r="N4" s="12" t="n">
        <v>6</v>
      </c>
      <c r="O4" s="11" t="n">
        <v>6</v>
      </c>
      <c r="P4" s="11" t="n">
        <v>6</v>
      </c>
      <c r="Q4" s="11" t="n">
        <v>6</v>
      </c>
      <c r="R4" s="11" t="n">
        <v>7</v>
      </c>
      <c r="S4" s="11" t="n">
        <v>7</v>
      </c>
      <c r="T4" s="11" t="n">
        <v>7</v>
      </c>
      <c r="U4" s="11" t="n">
        <v>7</v>
      </c>
      <c r="V4" s="11" t="n">
        <v>8</v>
      </c>
      <c r="W4" s="11" t="n">
        <v>8</v>
      </c>
      <c r="X4" s="11" t="n">
        <v>8</v>
      </c>
      <c r="Y4" s="11" t="n">
        <v>8</v>
      </c>
      <c r="Z4" s="11" t="n">
        <v>8</v>
      </c>
      <c r="AA4" s="12"/>
      <c r="AB4" s="13" t="n">
        <f aca="false">Z4</f>
        <v>8</v>
      </c>
    </row>
    <row r="5" customFormat="false" ht="15" hidden="false" customHeight="true" outlineLevel="0" collapsed="false">
      <c r="N5" s="14"/>
    </row>
    <row r="6" customFormat="false" ht="15" hidden="false" customHeight="true" outlineLevel="0" collapsed="false">
      <c r="A6" s="7" t="s">
        <v>31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15" hidden="false" customHeight="true" outlineLevel="0" collapsed="false">
      <c r="A7" s="10" t="s">
        <v>32</v>
      </c>
      <c r="B7" s="11" t="n">
        <v>1</v>
      </c>
      <c r="C7" s="11" t="n">
        <v>1</v>
      </c>
      <c r="D7" s="11" t="n">
        <v>2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5</v>
      </c>
      <c r="J7" s="11" t="n">
        <v>6</v>
      </c>
      <c r="K7" s="11" t="n">
        <v>7</v>
      </c>
      <c r="L7" s="11" t="n">
        <v>7</v>
      </c>
      <c r="M7" s="11" t="n">
        <v>8</v>
      </c>
      <c r="N7" s="12" t="n">
        <f aca="false">SUM(B7:M7)</f>
        <v>51</v>
      </c>
      <c r="O7" s="11" t="n">
        <v>8</v>
      </c>
      <c r="P7" s="11" t="n">
        <v>9</v>
      </c>
      <c r="Q7" s="11" t="n">
        <v>10</v>
      </c>
      <c r="R7" s="11" t="n">
        <v>11</v>
      </c>
      <c r="S7" s="11" t="n">
        <v>12</v>
      </c>
      <c r="T7" s="11" t="n">
        <v>13</v>
      </c>
      <c r="U7" s="11" t="n">
        <v>14</v>
      </c>
      <c r="V7" s="11" t="n">
        <v>15</v>
      </c>
      <c r="W7" s="11" t="n">
        <v>16</v>
      </c>
      <c r="X7" s="11" t="n">
        <v>17</v>
      </c>
      <c r="Y7" s="11" t="n">
        <v>18</v>
      </c>
      <c r="Z7" s="11" t="n">
        <v>20</v>
      </c>
      <c r="AA7" s="12" t="n">
        <f aca="false">SUM(O7:Z7)</f>
        <v>163</v>
      </c>
      <c r="AB7" s="13" t="n">
        <f aca="false">N7+AA7</f>
        <v>214</v>
      </c>
    </row>
    <row r="8" customFormat="false" ht="15" hidden="false" customHeight="true" outlineLevel="0" collapsed="false">
      <c r="A8" s="10" t="s">
        <v>33</v>
      </c>
      <c r="B8" s="11" t="n">
        <f aca="false">B7</f>
        <v>1</v>
      </c>
      <c r="C8" s="11" t="n">
        <f aca="false">B8+C7</f>
        <v>2</v>
      </c>
      <c r="D8" s="11" t="n">
        <f aca="false">C8+D7</f>
        <v>4</v>
      </c>
      <c r="E8" s="11" t="n">
        <f aca="false">D8+E7</f>
        <v>6</v>
      </c>
      <c r="F8" s="11" t="n">
        <f aca="false">E8+F7</f>
        <v>9</v>
      </c>
      <c r="G8" s="11" t="n">
        <f aca="false">F8+G7</f>
        <v>13</v>
      </c>
      <c r="H8" s="11" t="n">
        <f aca="false">G8+H7</f>
        <v>18</v>
      </c>
      <c r="I8" s="11" t="n">
        <f aca="false">H8+I7</f>
        <v>23</v>
      </c>
      <c r="J8" s="11" t="n">
        <f aca="false">I8+J7</f>
        <v>29</v>
      </c>
      <c r="K8" s="11" t="n">
        <f aca="false">J8+K7</f>
        <v>36</v>
      </c>
      <c r="L8" s="11" t="n">
        <f aca="false">K8+L7</f>
        <v>43</v>
      </c>
      <c r="M8" s="11" t="n">
        <f aca="false">L8+M7</f>
        <v>51</v>
      </c>
      <c r="N8" s="12" t="n">
        <f aca="false">M8</f>
        <v>51</v>
      </c>
      <c r="O8" s="11" t="n">
        <f aca="false">M8+O7</f>
        <v>59</v>
      </c>
      <c r="P8" s="11" t="n">
        <f aca="false">O8+P7</f>
        <v>68</v>
      </c>
      <c r="Q8" s="11" t="n">
        <f aca="false">P8+Q7</f>
        <v>78</v>
      </c>
      <c r="R8" s="11" t="n">
        <f aca="false">Q8+R7</f>
        <v>89</v>
      </c>
      <c r="S8" s="11" t="n">
        <f aca="false">R8+S7</f>
        <v>101</v>
      </c>
      <c r="T8" s="11" t="n">
        <f aca="false">S8+T7</f>
        <v>114</v>
      </c>
      <c r="U8" s="11" t="n">
        <f aca="false">T8+U7</f>
        <v>128</v>
      </c>
      <c r="V8" s="11" t="n">
        <f aca="false">U8+V7</f>
        <v>143</v>
      </c>
      <c r="W8" s="11" t="n">
        <f aca="false">V8+W7</f>
        <v>159</v>
      </c>
      <c r="X8" s="11" t="n">
        <f aca="false">W8+X7</f>
        <v>176</v>
      </c>
      <c r="Y8" s="11" t="n">
        <f aca="false">X8+Y7</f>
        <v>194</v>
      </c>
      <c r="Z8" s="11" t="n">
        <f aca="false">Y8+Z7</f>
        <v>214</v>
      </c>
      <c r="AA8" s="12"/>
      <c r="AB8" s="13" t="n">
        <f aca="false">Z8</f>
        <v>214</v>
      </c>
    </row>
    <row r="9" customFormat="false" ht="15" hidden="false" customHeight="true" outlineLevel="0" collapsed="false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</row>
    <row r="10" customFormat="false" ht="15" hidden="false" customHeight="true" outlineLevel="0" collapsed="false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</row>
    <row r="11" customFormat="false" ht="15" hidden="false" customHeight="true" outlineLevel="0" collapsed="false">
      <c r="N11" s="14"/>
    </row>
    <row r="12" customFormat="false" ht="15" hidden="false" customHeight="true" outlineLevel="0" collapsed="false">
      <c r="A12" s="7" t="s">
        <v>34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customFormat="false" ht="15" hidden="false" customHeight="true" outlineLevel="0" collapsed="false">
      <c r="A13" s="17" t="s">
        <v>35</v>
      </c>
      <c r="B13" s="18" t="n">
        <f aca="false">B7*2500</f>
        <v>2500</v>
      </c>
      <c r="C13" s="18" t="n">
        <f aca="false">C7*2500</f>
        <v>2500</v>
      </c>
      <c r="D13" s="18" t="n">
        <f aca="false">D7*2500</f>
        <v>5000</v>
      </c>
      <c r="E13" s="18" t="n">
        <f aca="false">E7*2500</f>
        <v>5000</v>
      </c>
      <c r="F13" s="18" t="n">
        <f aca="false">F7*2500</f>
        <v>7500</v>
      </c>
      <c r="G13" s="18" t="n">
        <f aca="false">G7*3500</f>
        <v>14000</v>
      </c>
      <c r="H13" s="18" t="n">
        <f aca="false">H7*3500</f>
        <v>17500</v>
      </c>
      <c r="I13" s="18" t="n">
        <f aca="false">I7*3500</f>
        <v>17500</v>
      </c>
      <c r="J13" s="18" t="n">
        <f aca="false">J7*3500</f>
        <v>21000</v>
      </c>
      <c r="K13" s="18" t="n">
        <f aca="false">K7*3500</f>
        <v>24500</v>
      </c>
      <c r="L13" s="18" t="n">
        <f aca="false">L7*3500</f>
        <v>24500</v>
      </c>
      <c r="M13" s="18" t="n">
        <f aca="false">M7*3500</f>
        <v>28000</v>
      </c>
      <c r="N13" s="18" t="n">
        <f aca="false">SUM(B13:M13)</f>
        <v>169500</v>
      </c>
      <c r="O13" s="18" t="n">
        <f aca="false">O7*4500</f>
        <v>36000</v>
      </c>
      <c r="P13" s="18" t="n">
        <f aca="false">P7*4500</f>
        <v>40500</v>
      </c>
      <c r="Q13" s="18" t="n">
        <f aca="false">Q7*4500</f>
        <v>45000</v>
      </c>
      <c r="R13" s="18" t="n">
        <f aca="false">R7*4500</f>
        <v>49500</v>
      </c>
      <c r="S13" s="18" t="n">
        <f aca="false">S7*4500</f>
        <v>54000</v>
      </c>
      <c r="T13" s="18" t="n">
        <f aca="false">T7*4500</f>
        <v>58500</v>
      </c>
      <c r="U13" s="18" t="n">
        <f aca="false">U7*4500</f>
        <v>63000</v>
      </c>
      <c r="V13" s="18" t="n">
        <f aca="false">V7*4500</f>
        <v>67500</v>
      </c>
      <c r="W13" s="18" t="n">
        <f aca="false">W7*4500</f>
        <v>72000</v>
      </c>
      <c r="X13" s="18" t="n">
        <f aca="false">X7*4500</f>
        <v>76500</v>
      </c>
      <c r="Y13" s="18" t="n">
        <f aca="false">Y7*4500</f>
        <v>81000</v>
      </c>
      <c r="Z13" s="18" t="n">
        <f aca="false">Z7*4500</f>
        <v>90000</v>
      </c>
      <c r="AA13" s="18" t="n">
        <f aca="false">SUM(O13:Z13)</f>
        <v>733500</v>
      </c>
      <c r="AB13" s="19" t="n">
        <f aca="false">N13+AA13</f>
        <v>903000</v>
      </c>
    </row>
    <row r="14" customFormat="false" ht="15" hidden="false" customHeight="true" outlineLevel="0" collapsed="false">
      <c r="N14" s="14"/>
    </row>
    <row r="15" customFormat="false" ht="15" hidden="false" customHeight="true" outlineLevel="0" collapsed="false">
      <c r="A15" s="7" t="s">
        <v>36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customFormat="false" ht="15" hidden="false" customHeight="true" outlineLevel="0" collapsed="false">
      <c r="A16" s="10" t="s">
        <v>37</v>
      </c>
      <c r="B16" s="20" t="n">
        <f aca="false">600+B13*'Key Assumptions'!$B$25</f>
        <v>725</v>
      </c>
      <c r="C16" s="20" t="n">
        <f aca="false">600+C13*'Key Assumptions'!$B$25</f>
        <v>725</v>
      </c>
      <c r="D16" s="20" t="n">
        <f aca="false">600+D13*'Key Assumptions'!$B$25</f>
        <v>850</v>
      </c>
      <c r="E16" s="20" t="n">
        <f aca="false">600+E13*'Key Assumptions'!$B$25</f>
        <v>850</v>
      </c>
      <c r="F16" s="20" t="n">
        <f aca="false">600+F13*'Key Assumptions'!$B$25</f>
        <v>975</v>
      </c>
      <c r="G16" s="20" t="n">
        <f aca="false">600+G13*'Key Assumptions'!$B$25</f>
        <v>1300</v>
      </c>
      <c r="H16" s="20" t="n">
        <f aca="false">800+H13*'Key Assumptions'!$B$26</f>
        <v>887.5</v>
      </c>
      <c r="I16" s="20" t="n">
        <f aca="false">800+I13*'Key Assumptions'!$B$26</f>
        <v>887.5</v>
      </c>
      <c r="J16" s="20" t="n">
        <f aca="false">800+J13*'Key Assumptions'!$B$26</f>
        <v>905</v>
      </c>
      <c r="K16" s="20" t="n">
        <f aca="false">800+K13*'Key Assumptions'!$B$26</f>
        <v>922.5</v>
      </c>
      <c r="L16" s="20" t="n">
        <f aca="false">800+L13*'Key Assumptions'!$B$26</f>
        <v>922.5</v>
      </c>
      <c r="M16" s="20" t="n">
        <f aca="false">800+M13*'Key Assumptions'!$B$26</f>
        <v>940</v>
      </c>
      <c r="N16" s="21" t="n">
        <f aca="false">SUM(B16:M16)</f>
        <v>10890</v>
      </c>
      <c r="O16" s="20" t="n">
        <f aca="false">800+O13*'Key Assumptions'!$B$26</f>
        <v>980</v>
      </c>
      <c r="P16" s="20" t="n">
        <f aca="false">800+P13*'Key Assumptions'!$B$26</f>
        <v>1002.5</v>
      </c>
      <c r="Q16" s="20" t="n">
        <f aca="false">800+Q13*'Key Assumptions'!$B$26</f>
        <v>1025</v>
      </c>
      <c r="R16" s="20" t="n">
        <f aca="false">800+R13*'Key Assumptions'!$B$26</f>
        <v>1047.5</v>
      </c>
      <c r="S16" s="20" t="n">
        <f aca="false">800+S13*'Key Assumptions'!$B$26</f>
        <v>1070</v>
      </c>
      <c r="T16" s="20" t="n">
        <f aca="false">800+T13*'Key Assumptions'!$B$26</f>
        <v>1092.5</v>
      </c>
      <c r="U16" s="20" t="n">
        <f aca="false">800+U13*'Key Assumptions'!$B$26</f>
        <v>1115</v>
      </c>
      <c r="V16" s="20" t="n">
        <f aca="false">800+V13*'Key Assumptions'!$B$26</f>
        <v>1137.5</v>
      </c>
      <c r="W16" s="20" t="n">
        <f aca="false">800+W13*'Key Assumptions'!$B$26</f>
        <v>1160</v>
      </c>
      <c r="X16" s="20" t="n">
        <f aca="false">800+X13*'Key Assumptions'!$B$26</f>
        <v>1182.5</v>
      </c>
      <c r="Y16" s="20" t="n">
        <f aca="false">800+Y13*'Key Assumptions'!$B$26</f>
        <v>1205</v>
      </c>
      <c r="Z16" s="20" t="n">
        <f aca="false">800+Z13*'Key Assumptions'!$B$26</f>
        <v>1250</v>
      </c>
      <c r="AA16" s="21" t="n">
        <f aca="false">SUM(O16:Z16)</f>
        <v>13267.5</v>
      </c>
      <c r="AB16" s="19" t="n">
        <f aca="false">N16+AA16</f>
        <v>24157.5</v>
      </c>
    </row>
    <row r="17" customFormat="false" ht="15" hidden="false" customHeight="true" outlineLevel="0" collapsed="false">
      <c r="A17" s="10" t="s">
        <v>38</v>
      </c>
      <c r="B17" s="20" t="n">
        <f aca="false">B13*'Key Assumptions'!$B$8</f>
        <v>250</v>
      </c>
      <c r="C17" s="20" t="n">
        <f aca="false">C13*'Key Assumptions'!$B$8</f>
        <v>250</v>
      </c>
      <c r="D17" s="20" t="n">
        <f aca="false">D13*'Key Assumptions'!$B$8</f>
        <v>500</v>
      </c>
      <c r="E17" s="20" t="n">
        <f aca="false">E13*'Key Assumptions'!$B$8</f>
        <v>500</v>
      </c>
      <c r="F17" s="20" t="n">
        <f aca="false">F13*'Key Assumptions'!$B$8</f>
        <v>750</v>
      </c>
      <c r="G17" s="20" t="n">
        <f aca="false">G13*'Key Assumptions'!$B$8</f>
        <v>1400</v>
      </c>
      <c r="H17" s="20" t="n">
        <f aca="false">H13*'Key Assumptions'!$B$8</f>
        <v>1750</v>
      </c>
      <c r="I17" s="20" t="n">
        <f aca="false">I13*'Key Assumptions'!$B$8</f>
        <v>1750</v>
      </c>
      <c r="J17" s="20" t="n">
        <f aca="false">J13*'Key Assumptions'!$B$8</f>
        <v>2100</v>
      </c>
      <c r="K17" s="20" t="n">
        <f aca="false">K13*'Key Assumptions'!$B$8</f>
        <v>2450</v>
      </c>
      <c r="L17" s="20" t="n">
        <f aca="false">L13*'Key Assumptions'!$B$8</f>
        <v>2450</v>
      </c>
      <c r="M17" s="20" t="n">
        <f aca="false">M13*'Key Assumptions'!$B$8</f>
        <v>2800</v>
      </c>
      <c r="N17" s="21" t="n">
        <f aca="false">SUM(B17:M17)</f>
        <v>16950</v>
      </c>
      <c r="O17" s="20" t="n">
        <f aca="false">O13*'Key Assumptions'!$B$8</f>
        <v>3600</v>
      </c>
      <c r="P17" s="20" t="n">
        <f aca="false">P13*'Key Assumptions'!$B$8</f>
        <v>4050</v>
      </c>
      <c r="Q17" s="20" t="n">
        <f aca="false">Q13*'Key Assumptions'!$B$8</f>
        <v>4500</v>
      </c>
      <c r="R17" s="20" t="n">
        <f aca="false">R13*'Key Assumptions'!$B$8</f>
        <v>4950</v>
      </c>
      <c r="S17" s="20" t="n">
        <f aca="false">S13*'Key Assumptions'!$B$8</f>
        <v>5400</v>
      </c>
      <c r="T17" s="20" t="n">
        <f aca="false">T13*'Key Assumptions'!$B$8</f>
        <v>5850</v>
      </c>
      <c r="U17" s="20" t="n">
        <f aca="false">U13*'Key Assumptions'!$B$8</f>
        <v>6300</v>
      </c>
      <c r="V17" s="20" t="n">
        <f aca="false">V13*'Key Assumptions'!$B$8</f>
        <v>6750</v>
      </c>
      <c r="W17" s="20" t="n">
        <f aca="false">W13*'Key Assumptions'!$B$8</f>
        <v>7200</v>
      </c>
      <c r="X17" s="20" t="n">
        <f aca="false">X13*'Key Assumptions'!$B$8</f>
        <v>7650</v>
      </c>
      <c r="Y17" s="20" t="n">
        <f aca="false">Y13*'Key Assumptions'!$B$8</f>
        <v>8100</v>
      </c>
      <c r="Z17" s="20" t="n">
        <f aca="false">Z13*'Key Assumptions'!$B$8</f>
        <v>9000</v>
      </c>
      <c r="AA17" s="21" t="n">
        <f aca="false">SUM(O17:Z17)</f>
        <v>73350</v>
      </c>
      <c r="AB17" s="19" t="n">
        <f aca="false">N17+AA17</f>
        <v>90300</v>
      </c>
    </row>
    <row r="18" customFormat="false" ht="15" hidden="false" customHeight="true" outlineLevel="0" collapsed="false">
      <c r="A18" s="10" t="s">
        <v>39</v>
      </c>
      <c r="B18" s="22" t="n">
        <f aca="false">B16+B17</f>
        <v>975</v>
      </c>
      <c r="C18" s="22" t="n">
        <f aca="false">C16+C17</f>
        <v>975</v>
      </c>
      <c r="D18" s="22" t="n">
        <f aca="false">D16+D17</f>
        <v>1350</v>
      </c>
      <c r="E18" s="22" t="n">
        <f aca="false">E16+E17</f>
        <v>1350</v>
      </c>
      <c r="F18" s="22" t="n">
        <f aca="false">F16+F17</f>
        <v>1725</v>
      </c>
      <c r="G18" s="22" t="n">
        <f aca="false">G16+G17</f>
        <v>2700</v>
      </c>
      <c r="H18" s="22" t="n">
        <f aca="false">H16+H17</f>
        <v>2637.5</v>
      </c>
      <c r="I18" s="22" t="n">
        <f aca="false">I16+I17</f>
        <v>2637.5</v>
      </c>
      <c r="J18" s="22" t="n">
        <f aca="false">J16+J17</f>
        <v>3005</v>
      </c>
      <c r="K18" s="22" t="n">
        <f aca="false">K16+K17</f>
        <v>3372.5</v>
      </c>
      <c r="L18" s="22" t="n">
        <f aca="false">L16+L17</f>
        <v>3372.5</v>
      </c>
      <c r="M18" s="22" t="n">
        <f aca="false">M16+M17</f>
        <v>3740</v>
      </c>
      <c r="N18" s="21" t="n">
        <f aca="false">SUM(B18:M18)</f>
        <v>27840</v>
      </c>
      <c r="O18" s="20" t="n">
        <f aca="false">O16+O17</f>
        <v>4580</v>
      </c>
      <c r="P18" s="20" t="n">
        <f aca="false">P16+P17</f>
        <v>5052.5</v>
      </c>
      <c r="Q18" s="20" t="n">
        <f aca="false">Q16+Q17</f>
        <v>5525</v>
      </c>
      <c r="R18" s="20" t="n">
        <f aca="false">R16+R17</f>
        <v>5997.5</v>
      </c>
      <c r="S18" s="20" t="n">
        <f aca="false">S16+S17</f>
        <v>6470</v>
      </c>
      <c r="T18" s="20" t="n">
        <f aca="false">T16+T17</f>
        <v>6942.5</v>
      </c>
      <c r="U18" s="20" t="n">
        <f aca="false">U16+U17</f>
        <v>7415</v>
      </c>
      <c r="V18" s="20" t="n">
        <f aca="false">V16+V17</f>
        <v>7887.5</v>
      </c>
      <c r="W18" s="20" t="n">
        <f aca="false">W16+W17</f>
        <v>8360</v>
      </c>
      <c r="X18" s="20" t="n">
        <f aca="false">X16+X17</f>
        <v>8832.5</v>
      </c>
      <c r="Y18" s="20" t="n">
        <f aca="false">Y16+Y17</f>
        <v>9305</v>
      </c>
      <c r="Z18" s="20" t="n">
        <f aca="false">Z16+Z17</f>
        <v>10250</v>
      </c>
      <c r="AA18" s="21" t="n">
        <f aca="false">SUM(O18:Z18)</f>
        <v>86617.5</v>
      </c>
      <c r="AB18" s="19" t="n">
        <f aca="false">N18+AA18</f>
        <v>114457.5</v>
      </c>
    </row>
    <row r="19" customFormat="false" ht="15" hidden="false" customHeight="true" outlineLevel="0" collapsed="false">
      <c r="N19" s="14"/>
    </row>
    <row r="20" customFormat="false" ht="15" hidden="false" customHeight="true" outlineLevel="0" collapsed="false">
      <c r="A20" s="23" t="s">
        <v>40</v>
      </c>
      <c r="B20" s="24" t="n">
        <f aca="false">B13-B18</f>
        <v>1525</v>
      </c>
      <c r="C20" s="24" t="n">
        <f aca="false">C13-C18</f>
        <v>1525</v>
      </c>
      <c r="D20" s="24" t="n">
        <f aca="false">D13-D18</f>
        <v>3650</v>
      </c>
      <c r="E20" s="24" t="n">
        <f aca="false">E13-E18</f>
        <v>3650</v>
      </c>
      <c r="F20" s="24" t="n">
        <f aca="false">F13-F18</f>
        <v>5775</v>
      </c>
      <c r="G20" s="24" t="n">
        <f aca="false">G13-G18</f>
        <v>11300</v>
      </c>
      <c r="H20" s="24" t="n">
        <f aca="false">H13-H18</f>
        <v>14862.5</v>
      </c>
      <c r="I20" s="24" t="n">
        <f aca="false">I13-I18</f>
        <v>14862.5</v>
      </c>
      <c r="J20" s="24" t="n">
        <f aca="false">J13-J18</f>
        <v>17995</v>
      </c>
      <c r="K20" s="24" t="n">
        <f aca="false">K13-K18</f>
        <v>21127.5</v>
      </c>
      <c r="L20" s="24" t="n">
        <f aca="false">L13-L18</f>
        <v>21127.5</v>
      </c>
      <c r="M20" s="24" t="n">
        <f aca="false">M13-M18</f>
        <v>24260</v>
      </c>
      <c r="N20" s="24" t="n">
        <f aca="false">SUM(B20:M20)</f>
        <v>141660</v>
      </c>
      <c r="O20" s="24" t="n">
        <f aca="false">O13-O18</f>
        <v>31420</v>
      </c>
      <c r="P20" s="24" t="n">
        <f aca="false">P13-P18</f>
        <v>35447.5</v>
      </c>
      <c r="Q20" s="24" t="n">
        <f aca="false">Q13-Q18</f>
        <v>39475</v>
      </c>
      <c r="R20" s="24" t="n">
        <f aca="false">R13-R18</f>
        <v>43502.5</v>
      </c>
      <c r="S20" s="24" t="n">
        <f aca="false">S13-S18</f>
        <v>47530</v>
      </c>
      <c r="T20" s="24" t="n">
        <f aca="false">T13-T18</f>
        <v>51557.5</v>
      </c>
      <c r="U20" s="24" t="n">
        <f aca="false">U13-U18</f>
        <v>55585</v>
      </c>
      <c r="V20" s="24" t="n">
        <f aca="false">V13-V18</f>
        <v>59612.5</v>
      </c>
      <c r="W20" s="24" t="n">
        <f aca="false">W13-W18</f>
        <v>63640</v>
      </c>
      <c r="X20" s="24" t="n">
        <f aca="false">X13-X18</f>
        <v>67667.5</v>
      </c>
      <c r="Y20" s="24" t="n">
        <f aca="false">Y13-Y18</f>
        <v>71695</v>
      </c>
      <c r="Z20" s="24" t="n">
        <f aca="false">Z13-Z18</f>
        <v>79750</v>
      </c>
      <c r="AA20" s="24" t="n">
        <f aca="false">SUM(O20:Z20)</f>
        <v>646882.5</v>
      </c>
      <c r="AB20" s="19" t="n">
        <f aca="false">N20+AA20</f>
        <v>788542.5</v>
      </c>
    </row>
    <row r="21" customFormat="false" ht="15" hidden="false" customHeight="true" outlineLevel="0" collapsed="false">
      <c r="A21" s="10" t="s">
        <v>41</v>
      </c>
      <c r="B21" s="25" t="n">
        <f aca="false">IF(B13=0,0,B20/B13)</f>
        <v>0.61</v>
      </c>
      <c r="C21" s="25" t="n">
        <f aca="false">IF(C13=0,0,C20/C13)</f>
        <v>0.61</v>
      </c>
      <c r="D21" s="25" t="n">
        <f aca="false">IF(D13=0,0,D20/D13)</f>
        <v>0.73</v>
      </c>
      <c r="E21" s="25" t="n">
        <f aca="false">IF(E13=0,0,E20/E13)</f>
        <v>0.73</v>
      </c>
      <c r="F21" s="25" t="n">
        <f aca="false">IF(F13=0,0,F20/F13)</f>
        <v>0.77</v>
      </c>
      <c r="G21" s="25" t="n">
        <f aca="false">IF(G13=0,0,G20/G13)</f>
        <v>0.807142857142857</v>
      </c>
      <c r="H21" s="25" t="n">
        <f aca="false">IF(H13=0,0,H20/H13)</f>
        <v>0.849285714285714</v>
      </c>
      <c r="I21" s="25" t="n">
        <f aca="false">IF(I13=0,0,I20/I13)</f>
        <v>0.849285714285714</v>
      </c>
      <c r="J21" s="25" t="n">
        <f aca="false">IF(J13=0,0,J20/J13)</f>
        <v>0.856904761904762</v>
      </c>
      <c r="K21" s="25" t="n">
        <f aca="false">IF(K13=0,0,K20/K13)</f>
        <v>0.86234693877551</v>
      </c>
      <c r="L21" s="25" t="n">
        <f aca="false">IF(L13=0,0,L20/L13)</f>
        <v>0.86234693877551</v>
      </c>
      <c r="M21" s="25" t="n">
        <f aca="false">IF(M13=0,0,M20/M13)</f>
        <v>0.866428571428571</v>
      </c>
      <c r="N21" s="26" t="n">
        <f aca="false">N20/N13</f>
        <v>0.835752212389381</v>
      </c>
      <c r="O21" s="25" t="n">
        <f aca="false">IF(O13&gt;0,O20/O13,0)</f>
        <v>0.872777777777778</v>
      </c>
      <c r="P21" s="25" t="n">
        <f aca="false">IF(P13&gt;0,P20/P13,0)</f>
        <v>0.875246913580247</v>
      </c>
      <c r="Q21" s="25" t="n">
        <f aca="false">IF(Q13&gt;0,Q20/Q13,0)</f>
        <v>0.877222222222222</v>
      </c>
      <c r="R21" s="25" t="n">
        <f aca="false">IF(R13&gt;0,R20/R13,0)</f>
        <v>0.878838383838384</v>
      </c>
      <c r="S21" s="25" t="n">
        <f aca="false">IF(S13&gt;0,S20/S13,0)</f>
        <v>0.880185185185185</v>
      </c>
      <c r="T21" s="25" t="n">
        <f aca="false">IF(T13&gt;0,T20/T13,0)</f>
        <v>0.881324786324786</v>
      </c>
      <c r="U21" s="25" t="n">
        <f aca="false">IF(U13&gt;0,U20/U13,0)</f>
        <v>0.882301587301587</v>
      </c>
      <c r="V21" s="25" t="n">
        <f aca="false">IF(V13&gt;0,V20/V13,0)</f>
        <v>0.883148148148148</v>
      </c>
      <c r="W21" s="25" t="n">
        <f aca="false">IF(W13&gt;0,W20/W13,0)</f>
        <v>0.883888888888889</v>
      </c>
      <c r="X21" s="25" t="n">
        <f aca="false">IF(X13&gt;0,X20/X13,0)</f>
        <v>0.884542483660131</v>
      </c>
      <c r="Y21" s="25" t="n">
        <f aca="false">IF(Y13&gt;0,Y20/Y13,0)</f>
        <v>0.885123456790124</v>
      </c>
      <c r="Z21" s="25" t="n">
        <f aca="false">IF(Z13&gt;0,Z20/Z13,0)</f>
        <v>0.886111111111111</v>
      </c>
      <c r="AA21" s="26" t="n">
        <f aca="false">AA20/AA13</f>
        <v>0.881912065439673</v>
      </c>
      <c r="AB21" s="27" t="n">
        <f aca="false">AB20/AB13</f>
        <v>0.873247508305648</v>
      </c>
    </row>
    <row r="22" customFormat="false" ht="15" hidden="false" customHeight="true" outlineLevel="0" collapsed="false">
      <c r="N22" s="14"/>
    </row>
    <row r="23" customFormat="false" ht="15" hidden="false" customHeight="true" outlineLevel="0" collapsed="false">
      <c r="A23" s="7" t="s">
        <v>42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customFormat="false" ht="15" hidden="false" customHeight="true" outlineLevel="0" collapsed="false">
      <c r="A24" s="10" t="s">
        <v>43</v>
      </c>
      <c r="B24" s="20" t="n">
        <f aca="false">B4*'Key Assumptions'!$B$16</f>
        <v>1000</v>
      </c>
      <c r="C24" s="20" t="n">
        <f aca="false">C4*'Key Assumptions'!$B$16</f>
        <v>1000</v>
      </c>
      <c r="D24" s="20" t="n">
        <f aca="false">D4*'Key Assumptions'!$B$16</f>
        <v>1000</v>
      </c>
      <c r="E24" s="20" t="n">
        <f aca="false">E4*'Key Assumptions'!$B$16</f>
        <v>1500</v>
      </c>
      <c r="F24" s="20" t="n">
        <f aca="false">F4*'Key Assumptions'!$B$16</f>
        <v>1500</v>
      </c>
      <c r="G24" s="20" t="n">
        <f aca="false">G4*'Key Assumptions'!$B$16</f>
        <v>2000</v>
      </c>
      <c r="H24" s="20" t="n">
        <f aca="false">H4*'Key Assumptions'!$B$17</f>
        <v>2600</v>
      </c>
      <c r="I24" s="20" t="n">
        <f aca="false">I4*'Key Assumptions'!$B$17</f>
        <v>2600</v>
      </c>
      <c r="J24" s="20" t="n">
        <f aca="false">J4*'Key Assumptions'!$B$17</f>
        <v>3250</v>
      </c>
      <c r="K24" s="20" t="n">
        <f aca="false">K4*'Key Assumptions'!$B$17</f>
        <v>3250</v>
      </c>
      <c r="L24" s="20" t="n">
        <f aca="false">L4*'Key Assumptions'!$B$17</f>
        <v>3900</v>
      </c>
      <c r="M24" s="20" t="n">
        <f aca="false">M4*'Key Assumptions'!$B$17</f>
        <v>3900</v>
      </c>
      <c r="N24" s="21" t="n">
        <f aca="false">SUM(B24:M24)</f>
        <v>27500</v>
      </c>
      <c r="O24" s="20" t="n">
        <f aca="false">O4*'Key Assumptions'!$B$18</f>
        <v>5100</v>
      </c>
      <c r="P24" s="20" t="n">
        <f aca="false">P4*'Key Assumptions'!$B$18</f>
        <v>5100</v>
      </c>
      <c r="Q24" s="20" t="n">
        <f aca="false">Q4*'Key Assumptions'!$B$18</f>
        <v>5100</v>
      </c>
      <c r="R24" s="20" t="n">
        <f aca="false">R4*'Key Assumptions'!$B$18</f>
        <v>5950</v>
      </c>
      <c r="S24" s="20" t="n">
        <f aca="false">S4*'Key Assumptions'!$B$18</f>
        <v>5950</v>
      </c>
      <c r="T24" s="20" t="n">
        <f aca="false">T4*'Key Assumptions'!$B$18</f>
        <v>5950</v>
      </c>
      <c r="U24" s="20" t="n">
        <f aca="false">U4*'Key Assumptions'!$B$18</f>
        <v>5950</v>
      </c>
      <c r="V24" s="20" t="n">
        <f aca="false">V4*'Key Assumptions'!$B$18</f>
        <v>6800</v>
      </c>
      <c r="W24" s="20" t="n">
        <f aca="false">W4*'Key Assumptions'!$B$18</f>
        <v>6800</v>
      </c>
      <c r="X24" s="20" t="n">
        <f aca="false">X4*'Key Assumptions'!$B$18</f>
        <v>6800</v>
      </c>
      <c r="Y24" s="20" t="n">
        <f aca="false">Y4*'Key Assumptions'!$B$18</f>
        <v>6800</v>
      </c>
      <c r="Z24" s="20" t="n">
        <f aca="false">Z4*'Key Assumptions'!$B$18</f>
        <v>6800</v>
      </c>
      <c r="AA24" s="21" t="n">
        <f aca="false">SUM(O24:Z24)</f>
        <v>73100</v>
      </c>
      <c r="AB24" s="19" t="n">
        <f aca="false">N24+AA24</f>
        <v>100600</v>
      </c>
    </row>
    <row r="25" customFormat="false" ht="15" hidden="false" customHeight="true" outlineLevel="0" collapsed="false">
      <c r="A25" s="10" t="s">
        <v>44</v>
      </c>
      <c r="B25" s="20" t="n">
        <f aca="false">'Key Assumptions'!$B$21</f>
        <v>3000</v>
      </c>
      <c r="C25" s="20" t="n">
        <f aca="false">'Key Assumptions'!$B$21</f>
        <v>3000</v>
      </c>
      <c r="D25" s="20" t="n">
        <f aca="false">'Key Assumptions'!$B$21</f>
        <v>3000</v>
      </c>
      <c r="E25" s="20" t="n">
        <f aca="false">'Key Assumptions'!$B$21</f>
        <v>3000</v>
      </c>
      <c r="F25" s="20" t="n">
        <f aca="false">'Key Assumptions'!$B$21</f>
        <v>3000</v>
      </c>
      <c r="G25" s="20" t="n">
        <f aca="false">'Key Assumptions'!$B$21</f>
        <v>3000</v>
      </c>
      <c r="H25" s="20" t="n">
        <f aca="false">'Key Assumptions'!$B$21</f>
        <v>3000</v>
      </c>
      <c r="I25" s="20" t="n">
        <f aca="false">'Key Assumptions'!$B$21</f>
        <v>3000</v>
      </c>
      <c r="J25" s="20" t="n">
        <f aca="false">'Key Assumptions'!$B$21</f>
        <v>3000</v>
      </c>
      <c r="K25" s="20" t="n">
        <f aca="false">'Key Assumptions'!$B$21</f>
        <v>3000</v>
      </c>
      <c r="L25" s="20" t="n">
        <f aca="false">'Key Assumptions'!$B$21</f>
        <v>3000</v>
      </c>
      <c r="M25" s="20" t="n">
        <f aca="false">'Key Assumptions'!$B$21</f>
        <v>3000</v>
      </c>
      <c r="N25" s="21" t="n">
        <f aca="false">SUM(B25:M25)</f>
        <v>36000</v>
      </c>
      <c r="O25" s="20" t="n">
        <f aca="false">'Key Assumptions'!$B$21</f>
        <v>3000</v>
      </c>
      <c r="P25" s="20" t="n">
        <f aca="false">'Key Assumptions'!$B$21</f>
        <v>3000</v>
      </c>
      <c r="Q25" s="20" t="n">
        <f aca="false">'Key Assumptions'!$B$21</f>
        <v>3000</v>
      </c>
      <c r="R25" s="20" t="n">
        <f aca="false">'Key Assumptions'!$B$21</f>
        <v>3000</v>
      </c>
      <c r="S25" s="20" t="n">
        <f aca="false">'Key Assumptions'!$B$21</f>
        <v>3000</v>
      </c>
      <c r="T25" s="20" t="n">
        <f aca="false">'Key Assumptions'!$B$21</f>
        <v>3000</v>
      </c>
      <c r="U25" s="20" t="n">
        <f aca="false">'Key Assumptions'!$B$21</f>
        <v>3000</v>
      </c>
      <c r="V25" s="20" t="n">
        <f aca="false">'Key Assumptions'!$B$21</f>
        <v>3000</v>
      </c>
      <c r="W25" s="20" t="n">
        <f aca="false">'Key Assumptions'!$B$21</f>
        <v>3000</v>
      </c>
      <c r="X25" s="20" t="n">
        <f aca="false">'Key Assumptions'!$B$21</f>
        <v>3000</v>
      </c>
      <c r="Y25" s="20" t="n">
        <f aca="false">'Key Assumptions'!$B$21</f>
        <v>3000</v>
      </c>
      <c r="Z25" s="20" t="n">
        <f aca="false">'Key Assumptions'!$B$21</f>
        <v>3000</v>
      </c>
      <c r="AA25" s="21" t="n">
        <f aca="false">SUM(O25:Z25)</f>
        <v>36000</v>
      </c>
      <c r="AB25" s="19" t="n">
        <f aca="false">N25+AA25</f>
        <v>72000</v>
      </c>
    </row>
    <row r="26" customFormat="false" ht="15" hidden="false" customHeight="true" outlineLevel="0" collapsed="false">
      <c r="A26" s="10" t="s">
        <v>45</v>
      </c>
      <c r="B26" s="20" t="n">
        <v>1500</v>
      </c>
      <c r="C26" s="20" t="n">
        <v>1500</v>
      </c>
      <c r="D26" s="20" t="n">
        <v>1500</v>
      </c>
      <c r="E26" s="20" t="n">
        <v>1500</v>
      </c>
      <c r="F26" s="20" t="n">
        <v>1500</v>
      </c>
      <c r="G26" s="20" t="n">
        <v>1500</v>
      </c>
      <c r="H26" s="20" t="n">
        <v>3000</v>
      </c>
      <c r="I26" s="20" t="n">
        <v>3000</v>
      </c>
      <c r="J26" s="20" t="n">
        <v>3000</v>
      </c>
      <c r="K26" s="20" t="n">
        <v>3000</v>
      </c>
      <c r="L26" s="20" t="n">
        <v>3000</v>
      </c>
      <c r="M26" s="20" t="n">
        <v>3000</v>
      </c>
      <c r="N26" s="21" t="n">
        <f aca="false">SUM(B26:M26)</f>
        <v>27000</v>
      </c>
      <c r="O26" s="20" t="n">
        <v>4000</v>
      </c>
      <c r="P26" s="20" t="n">
        <v>4000</v>
      </c>
      <c r="Q26" s="20" t="n">
        <v>4000</v>
      </c>
      <c r="R26" s="20" t="n">
        <v>4000</v>
      </c>
      <c r="S26" s="20" t="n">
        <v>4000</v>
      </c>
      <c r="T26" s="20" t="n">
        <v>4000</v>
      </c>
      <c r="U26" s="20" t="n">
        <v>4000</v>
      </c>
      <c r="V26" s="20" t="n">
        <v>4000</v>
      </c>
      <c r="W26" s="20" t="n">
        <v>4000</v>
      </c>
      <c r="X26" s="20" t="n">
        <v>4000</v>
      </c>
      <c r="Y26" s="20" t="n">
        <v>4000</v>
      </c>
      <c r="Z26" s="20" t="n">
        <v>4000</v>
      </c>
      <c r="AA26" s="21" t="n">
        <f aca="false">SUM(O26:Z26)</f>
        <v>48000</v>
      </c>
      <c r="AB26" s="19" t="n">
        <f aca="false">N26+AA26</f>
        <v>75000</v>
      </c>
    </row>
    <row r="27" customFormat="false" ht="15" hidden="false" customHeight="true" outlineLevel="0" collapsed="false">
      <c r="A27" s="10" t="s">
        <v>46</v>
      </c>
      <c r="B27" s="20" t="n">
        <v>67</v>
      </c>
      <c r="C27" s="20" t="n">
        <v>67</v>
      </c>
      <c r="D27" s="20" t="n">
        <v>67</v>
      </c>
      <c r="E27" s="20" t="n">
        <v>67</v>
      </c>
      <c r="F27" s="20" t="n">
        <v>67</v>
      </c>
      <c r="G27" s="20" t="n">
        <v>67</v>
      </c>
      <c r="H27" s="20" t="n">
        <v>1733</v>
      </c>
      <c r="I27" s="20" t="n">
        <v>1733</v>
      </c>
      <c r="J27" s="20" t="n">
        <v>1733</v>
      </c>
      <c r="K27" s="20" t="n">
        <v>1733</v>
      </c>
      <c r="L27" s="20" t="n">
        <v>1733</v>
      </c>
      <c r="M27" s="20" t="n">
        <v>1733</v>
      </c>
      <c r="N27" s="21" t="n">
        <f aca="false">SUM(B27:M27)</f>
        <v>10800</v>
      </c>
      <c r="O27" s="20" t="n">
        <v>1733</v>
      </c>
      <c r="P27" s="20" t="n">
        <v>1733</v>
      </c>
      <c r="Q27" s="20" t="n">
        <v>1733</v>
      </c>
      <c r="R27" s="20" t="n">
        <v>1733</v>
      </c>
      <c r="S27" s="20" t="n">
        <v>1733</v>
      </c>
      <c r="T27" s="20" t="n">
        <v>1733</v>
      </c>
      <c r="U27" s="20" t="n">
        <v>1733</v>
      </c>
      <c r="V27" s="20" t="n">
        <v>1733</v>
      </c>
      <c r="W27" s="20" t="n">
        <v>1733</v>
      </c>
      <c r="X27" s="20" t="n">
        <v>1733</v>
      </c>
      <c r="Y27" s="20" t="n">
        <v>1733</v>
      </c>
      <c r="Z27" s="20" t="n">
        <v>1733</v>
      </c>
      <c r="AA27" s="21" t="n">
        <f aca="false">SUM(O27:Z27)</f>
        <v>20796</v>
      </c>
      <c r="AB27" s="19" t="n">
        <f aca="false">N27+AA27</f>
        <v>31596</v>
      </c>
    </row>
    <row r="28" customFormat="false" ht="15" hidden="false" customHeight="true" outlineLevel="0" collapsed="false">
      <c r="A28" s="10" t="s">
        <v>47</v>
      </c>
      <c r="B28" s="22" t="n">
        <f aca="false">B24+B25+B26+B27</f>
        <v>5567</v>
      </c>
      <c r="C28" s="22" t="n">
        <f aca="false">C24+C25+C26+C27</f>
        <v>5567</v>
      </c>
      <c r="D28" s="22" t="n">
        <f aca="false">D24+D25+D26+D27</f>
        <v>5567</v>
      </c>
      <c r="E28" s="22" t="n">
        <f aca="false">E24+E25+E26+E27</f>
        <v>6067</v>
      </c>
      <c r="F28" s="22" t="n">
        <f aca="false">F24+F25+F26+F27</f>
        <v>6067</v>
      </c>
      <c r="G28" s="22" t="n">
        <f aca="false">G24+G25+G26+G27</f>
        <v>6567</v>
      </c>
      <c r="H28" s="22" t="n">
        <f aca="false">H24+H25+H26+H27</f>
        <v>10333</v>
      </c>
      <c r="I28" s="22" t="n">
        <f aca="false">I24+I25+I26+I27</f>
        <v>10333</v>
      </c>
      <c r="J28" s="22" t="n">
        <f aca="false">J24+J25+J26+J27</f>
        <v>10983</v>
      </c>
      <c r="K28" s="22" t="n">
        <f aca="false">K24+K25+K26+K27</f>
        <v>10983</v>
      </c>
      <c r="L28" s="22" t="n">
        <f aca="false">L24+L25+L26+L27</f>
        <v>11633</v>
      </c>
      <c r="M28" s="22" t="n">
        <f aca="false">M24+M25+M26+M27</f>
        <v>11633</v>
      </c>
      <c r="N28" s="21" t="n">
        <f aca="false">SUM(B28:M28)</f>
        <v>101300</v>
      </c>
      <c r="O28" s="20" t="n">
        <f aca="false">O24+O25+O26+O27</f>
        <v>13833</v>
      </c>
      <c r="P28" s="20" t="n">
        <f aca="false">P24+P25+P26+P27</f>
        <v>13833</v>
      </c>
      <c r="Q28" s="20" t="n">
        <f aca="false">Q24+Q25+Q26+Q27</f>
        <v>13833</v>
      </c>
      <c r="R28" s="20" t="n">
        <f aca="false">R24+R25+R26+R27</f>
        <v>14683</v>
      </c>
      <c r="S28" s="20" t="n">
        <f aca="false">S24+S25+S26+S27</f>
        <v>14683</v>
      </c>
      <c r="T28" s="20" t="n">
        <f aca="false">T24+T25+T26+T27</f>
        <v>14683</v>
      </c>
      <c r="U28" s="20" t="n">
        <f aca="false">U24+U25+U26+U27</f>
        <v>14683</v>
      </c>
      <c r="V28" s="20" t="n">
        <f aca="false">V24+V25+V26+V27</f>
        <v>15533</v>
      </c>
      <c r="W28" s="20" t="n">
        <f aca="false">W24+W25+W26+W27</f>
        <v>15533</v>
      </c>
      <c r="X28" s="20" t="n">
        <f aca="false">X24+X25+X26+X27</f>
        <v>15533</v>
      </c>
      <c r="Y28" s="20" t="n">
        <f aca="false">Y24+Y25+Y26+Y27</f>
        <v>15533</v>
      </c>
      <c r="Z28" s="20" t="n">
        <f aca="false">Z24+Z25+Z26+Z27</f>
        <v>15533</v>
      </c>
      <c r="AA28" s="21" t="n">
        <f aca="false">SUM(O28:Z28)</f>
        <v>177896</v>
      </c>
      <c r="AB28" s="19" t="n">
        <f aca="false">N28+AA28</f>
        <v>279196</v>
      </c>
    </row>
    <row r="29" customFormat="false" ht="15" hidden="false" customHeight="true" outlineLevel="0" collapsed="false">
      <c r="N29" s="14"/>
    </row>
    <row r="30" customFormat="false" ht="15" hidden="false" customHeight="true" outlineLevel="0" collapsed="false">
      <c r="A30" s="23" t="s">
        <v>48</v>
      </c>
      <c r="B30" s="24" t="n">
        <f aca="false">B20-B28</f>
        <v>-4042</v>
      </c>
      <c r="C30" s="24" t="n">
        <f aca="false">C20-C28</f>
        <v>-4042</v>
      </c>
      <c r="D30" s="24" t="n">
        <f aca="false">D20-D28</f>
        <v>-1917</v>
      </c>
      <c r="E30" s="24" t="n">
        <f aca="false">E20-E28</f>
        <v>-2417</v>
      </c>
      <c r="F30" s="24" t="n">
        <f aca="false">F20-F28</f>
        <v>-292</v>
      </c>
      <c r="G30" s="24" t="n">
        <f aca="false">G20-G28</f>
        <v>4733</v>
      </c>
      <c r="H30" s="24" t="n">
        <f aca="false">H20-H28</f>
        <v>4529.5</v>
      </c>
      <c r="I30" s="24" t="n">
        <f aca="false">I20-I28</f>
        <v>4529.5</v>
      </c>
      <c r="J30" s="24" t="n">
        <f aca="false">J20-J28</f>
        <v>7012</v>
      </c>
      <c r="K30" s="24" t="n">
        <f aca="false">K20-K28</f>
        <v>10144.5</v>
      </c>
      <c r="L30" s="24" t="n">
        <f aca="false">L20-L28</f>
        <v>9494.5</v>
      </c>
      <c r="M30" s="24" t="n">
        <f aca="false">M20-M28</f>
        <v>12627</v>
      </c>
      <c r="N30" s="24" t="n">
        <f aca="false">SUM(B30:M30)</f>
        <v>40360</v>
      </c>
      <c r="O30" s="24" t="n">
        <f aca="false">O20-O28</f>
        <v>17587</v>
      </c>
      <c r="P30" s="24" t="n">
        <f aca="false">P20-P28</f>
        <v>21614.5</v>
      </c>
      <c r="Q30" s="24" t="n">
        <f aca="false">Q20-Q28</f>
        <v>25642</v>
      </c>
      <c r="R30" s="24" t="n">
        <f aca="false">R20-R28</f>
        <v>28819.5</v>
      </c>
      <c r="S30" s="24" t="n">
        <f aca="false">S20-S28</f>
        <v>32847</v>
      </c>
      <c r="T30" s="24" t="n">
        <f aca="false">T20-T28</f>
        <v>36874.5</v>
      </c>
      <c r="U30" s="24" t="n">
        <f aca="false">U20-U28</f>
        <v>40902</v>
      </c>
      <c r="V30" s="24" t="n">
        <f aca="false">V20-V28</f>
        <v>44079.5</v>
      </c>
      <c r="W30" s="24" t="n">
        <f aca="false">W20-W28</f>
        <v>48107</v>
      </c>
      <c r="X30" s="24" t="n">
        <f aca="false">X20-X28</f>
        <v>52134.5</v>
      </c>
      <c r="Y30" s="24" t="n">
        <f aca="false">Y20-Y28</f>
        <v>56162</v>
      </c>
      <c r="Z30" s="24" t="n">
        <f aca="false">Z20-Z28</f>
        <v>64217</v>
      </c>
      <c r="AA30" s="24" t="n">
        <f aca="false">SUM(O30:Z30)</f>
        <v>468986.5</v>
      </c>
      <c r="AB30" s="19" t="n">
        <f aca="false">N30+AA30</f>
        <v>509346.5</v>
      </c>
    </row>
    <row r="31" customFormat="false" ht="15" hidden="false" customHeight="true" outlineLevel="0" collapsed="false">
      <c r="A31" s="10" t="s">
        <v>49</v>
      </c>
      <c r="B31" s="25" t="n">
        <f aca="false">IF(B13=0,0,B30/B13)</f>
        <v>-1.6168</v>
      </c>
      <c r="C31" s="25" t="n">
        <f aca="false">IF(C13=0,0,C30/C13)</f>
        <v>-1.6168</v>
      </c>
      <c r="D31" s="25" t="n">
        <f aca="false">IF(D13=0,0,D30/D13)</f>
        <v>-0.3834</v>
      </c>
      <c r="E31" s="25" t="n">
        <f aca="false">IF(E13=0,0,E30/E13)</f>
        <v>-0.4834</v>
      </c>
      <c r="F31" s="25" t="n">
        <f aca="false">IF(F13=0,0,F30/F13)</f>
        <v>-0.0389333333333333</v>
      </c>
      <c r="G31" s="25" t="n">
        <f aca="false">IF(G13=0,0,G30/G13)</f>
        <v>0.338071428571429</v>
      </c>
      <c r="H31" s="25" t="n">
        <f aca="false">IF(H13=0,0,H30/H13)</f>
        <v>0.258828571428571</v>
      </c>
      <c r="I31" s="25" t="n">
        <f aca="false">IF(I13=0,0,I30/I13)</f>
        <v>0.258828571428571</v>
      </c>
      <c r="J31" s="25" t="n">
        <f aca="false">IF(J13=0,0,J30/J13)</f>
        <v>0.333904761904762</v>
      </c>
      <c r="K31" s="25" t="n">
        <f aca="false">IF(K13=0,0,K30/K13)</f>
        <v>0.414061224489796</v>
      </c>
      <c r="L31" s="25" t="n">
        <f aca="false">IF(L13=0,0,L30/L13)</f>
        <v>0.387530612244898</v>
      </c>
      <c r="M31" s="25" t="n">
        <f aca="false">IF(M13=0,0,M30/M13)</f>
        <v>0.450964285714286</v>
      </c>
      <c r="N31" s="26" t="n">
        <f aca="false">N30/N13</f>
        <v>0.23811209439528</v>
      </c>
      <c r="O31" s="25" t="n">
        <f aca="false">IF(O13&gt;0,O30/O13,0)</f>
        <v>0.488527777777778</v>
      </c>
      <c r="P31" s="25" t="n">
        <f aca="false">IF(P13&gt;0,P30/P13,0)</f>
        <v>0.533691358024691</v>
      </c>
      <c r="Q31" s="25" t="n">
        <f aca="false">IF(Q13&gt;0,Q30/Q13,0)</f>
        <v>0.569822222222222</v>
      </c>
      <c r="R31" s="25" t="n">
        <f aca="false">IF(R13&gt;0,R30/R13,0)</f>
        <v>0.582212121212121</v>
      </c>
      <c r="S31" s="25" t="n">
        <f aca="false">IF(S13&gt;0,S30/S13,0)</f>
        <v>0.608277777777778</v>
      </c>
      <c r="T31" s="25" t="n">
        <f aca="false">IF(T13&gt;0,T30/T13,0)</f>
        <v>0.630333333333333</v>
      </c>
      <c r="U31" s="25" t="n">
        <f aca="false">IF(U13&gt;0,U30/U13,0)</f>
        <v>0.649238095238095</v>
      </c>
      <c r="V31" s="25" t="n">
        <f aca="false">IF(V13&gt;0,V30/V13,0)</f>
        <v>0.65302962962963</v>
      </c>
      <c r="W31" s="25" t="n">
        <f aca="false">IF(W13&gt;0,W30/W13,0)</f>
        <v>0.668152777777778</v>
      </c>
      <c r="X31" s="25" t="n">
        <f aca="false">IF(X13&gt;0,X30/X13,0)</f>
        <v>0.681496732026144</v>
      </c>
      <c r="Y31" s="25" t="n">
        <f aca="false">IF(Y13&gt;0,Y30/Y13,0)</f>
        <v>0.693358024691358</v>
      </c>
      <c r="Z31" s="25" t="n">
        <f aca="false">IF(Z13&gt;0,Z30/Z13,0)</f>
        <v>0.713522222222222</v>
      </c>
      <c r="AA31" s="26" t="n">
        <f aca="false">AA30/AA13</f>
        <v>0.639381731424676</v>
      </c>
      <c r="AB31" s="27" t="n">
        <f aca="false">AB30/AB13</f>
        <v>0.564060354374308</v>
      </c>
    </row>
    <row r="32" customFormat="false" ht="15" hidden="false" customHeight="true" outlineLevel="0" collapsed="false">
      <c r="N32" s="14"/>
    </row>
    <row r="33" customFormat="false" ht="15" hidden="false" customHeight="true" outlineLevel="0" collapsed="false">
      <c r="A33" s="1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  <row r="34" customFormat="false" ht="15" hidden="false" customHeight="true" outlineLevel="0" collapsed="false">
      <c r="A34" s="1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1"/>
    </row>
    <row r="35" customFormat="false" ht="15" hidden="false" customHeight="true" outlineLevel="0" collapsed="false">
      <c r="A35" s="1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</row>
    <row r="36" customFormat="false" ht="15" hidden="false" customHeight="true" outlineLevel="0" collapsed="false">
      <c r="A36" s="1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1"/>
    </row>
    <row r="37" customFormat="false" ht="15" hidden="false" customHeight="true" outlineLevel="0" collapsed="false">
      <c r="A37" s="1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1"/>
    </row>
    <row r="38" customFormat="false" ht="15" hidden="false" customHeight="true" outlineLevel="0" collapsed="false">
      <c r="N38" s="14"/>
    </row>
    <row r="39" customFormat="false" ht="15" hidden="false" customHeight="true" outlineLevel="0" collapsed="false">
      <c r="A39" s="23" t="s">
        <v>50</v>
      </c>
      <c r="B39" s="24" t="n">
        <f aca="false">B30-B37</f>
        <v>-4042</v>
      </c>
      <c r="C39" s="24" t="n">
        <f aca="false">C30-C37</f>
        <v>-4042</v>
      </c>
      <c r="D39" s="24" t="n">
        <f aca="false">D30-D37</f>
        <v>-1917</v>
      </c>
      <c r="E39" s="24" t="n">
        <f aca="false">E30-E37</f>
        <v>-2417</v>
      </c>
      <c r="F39" s="24" t="n">
        <f aca="false">F30-F37</f>
        <v>-292</v>
      </c>
      <c r="G39" s="24" t="n">
        <f aca="false">G30-G37</f>
        <v>4733</v>
      </c>
      <c r="H39" s="24" t="n">
        <f aca="false">H30-H37</f>
        <v>4529.5</v>
      </c>
      <c r="I39" s="24" t="n">
        <f aca="false">I30-I37</f>
        <v>4529.5</v>
      </c>
      <c r="J39" s="24" t="n">
        <f aca="false">J30-J37</f>
        <v>7012</v>
      </c>
      <c r="K39" s="24" t="n">
        <f aca="false">K30-K37</f>
        <v>10144.5</v>
      </c>
      <c r="L39" s="24" t="n">
        <f aca="false">L30-L37</f>
        <v>9494.5</v>
      </c>
      <c r="M39" s="24" t="n">
        <f aca="false">M30-M37</f>
        <v>12627</v>
      </c>
      <c r="N39" s="24" t="n">
        <f aca="false">SUM(B39:M39)</f>
        <v>40360</v>
      </c>
      <c r="O39" s="24" t="n">
        <f aca="false">O20-O28</f>
        <v>17587</v>
      </c>
      <c r="P39" s="24" t="n">
        <f aca="false">P20-P28</f>
        <v>21614.5</v>
      </c>
      <c r="Q39" s="24" t="n">
        <f aca="false">Q20-Q28</f>
        <v>25642</v>
      </c>
      <c r="R39" s="24" t="n">
        <f aca="false">R20-R28</f>
        <v>28819.5</v>
      </c>
      <c r="S39" s="24" t="n">
        <f aca="false">S20-S28</f>
        <v>32847</v>
      </c>
      <c r="T39" s="24" t="n">
        <f aca="false">T20-T28</f>
        <v>36874.5</v>
      </c>
      <c r="U39" s="24" t="n">
        <f aca="false">U20-U28</f>
        <v>40902</v>
      </c>
      <c r="V39" s="24" t="n">
        <f aca="false">V20-V28</f>
        <v>44079.5</v>
      </c>
      <c r="W39" s="24" t="n">
        <f aca="false">W20-W28</f>
        <v>48107</v>
      </c>
      <c r="X39" s="24" t="n">
        <f aca="false">X20-X28</f>
        <v>52134.5</v>
      </c>
      <c r="Y39" s="24" t="n">
        <f aca="false">Y20-Y28</f>
        <v>56162</v>
      </c>
      <c r="Z39" s="24" t="n">
        <f aca="false">Z20-Z28</f>
        <v>64217</v>
      </c>
      <c r="AA39" s="24" t="n">
        <f aca="false">SUM(O39:Z39)</f>
        <v>468986.5</v>
      </c>
      <c r="AB39" s="19" t="n">
        <f aca="false">N39+AA39</f>
        <v>509346.5</v>
      </c>
    </row>
    <row r="40" customFormat="false" ht="15" hidden="false" customHeight="true" outlineLevel="0" collapsed="false">
      <c r="A40" s="10" t="s">
        <v>51</v>
      </c>
      <c r="B40" s="25" t="n">
        <f aca="false">IF(B13=0,0,B39/B13)</f>
        <v>-1.6168</v>
      </c>
      <c r="C40" s="25" t="n">
        <f aca="false">IF(C13=0,0,C39/C13)</f>
        <v>-1.6168</v>
      </c>
      <c r="D40" s="25" t="n">
        <f aca="false">IF(D13=0,0,D39/D13)</f>
        <v>-0.3834</v>
      </c>
      <c r="E40" s="25" t="n">
        <f aca="false">IF(E13=0,0,E39/E13)</f>
        <v>-0.4834</v>
      </c>
      <c r="F40" s="25" t="n">
        <f aca="false">IF(F13=0,0,F39/F13)</f>
        <v>-0.0389333333333333</v>
      </c>
      <c r="G40" s="25" t="n">
        <f aca="false">IF(G13=0,0,G39/G13)</f>
        <v>0.338071428571429</v>
      </c>
      <c r="H40" s="25" t="n">
        <f aca="false">IF(H13=0,0,H39/H13)</f>
        <v>0.258828571428571</v>
      </c>
      <c r="I40" s="25" t="n">
        <f aca="false">IF(I13=0,0,I39/I13)</f>
        <v>0.258828571428571</v>
      </c>
      <c r="J40" s="25" t="n">
        <f aca="false">IF(J13=0,0,J39/J13)</f>
        <v>0.333904761904762</v>
      </c>
      <c r="K40" s="25" t="n">
        <f aca="false">IF(K13=0,0,K39/K13)</f>
        <v>0.414061224489796</v>
      </c>
      <c r="L40" s="25" t="n">
        <f aca="false">IF(L13=0,0,L39/L13)</f>
        <v>0.387530612244898</v>
      </c>
      <c r="M40" s="25" t="n">
        <f aca="false">IF(M13=0,0,M39/M13)</f>
        <v>0.450964285714286</v>
      </c>
      <c r="N40" s="26" t="n">
        <f aca="false">N39/N13</f>
        <v>0.23811209439528</v>
      </c>
      <c r="O40" s="25" t="n">
        <f aca="false">IF(O13&gt;0,O39/O13,0)</f>
        <v>0.488527777777778</v>
      </c>
      <c r="P40" s="25" t="n">
        <f aca="false">IF(P13&gt;0,P39/P13,0)</f>
        <v>0.533691358024691</v>
      </c>
      <c r="Q40" s="25" t="n">
        <f aca="false">IF(Q13&gt;0,Q39/Q13,0)</f>
        <v>0.569822222222222</v>
      </c>
      <c r="R40" s="25" t="n">
        <f aca="false">IF(R13&gt;0,R39/R13,0)</f>
        <v>0.582212121212121</v>
      </c>
      <c r="S40" s="25" t="n">
        <f aca="false">IF(S13&gt;0,S39/S13,0)</f>
        <v>0.608277777777778</v>
      </c>
      <c r="T40" s="25" t="n">
        <f aca="false">IF(T13&gt;0,T39/T13,0)</f>
        <v>0.630333333333333</v>
      </c>
      <c r="U40" s="25" t="n">
        <f aca="false">IF(U13&gt;0,U39/U13,0)</f>
        <v>0.649238095238095</v>
      </c>
      <c r="V40" s="25" t="n">
        <f aca="false">IF(V13&gt;0,V39/V13,0)</f>
        <v>0.65302962962963</v>
      </c>
      <c r="W40" s="25" t="n">
        <f aca="false">IF(W13&gt;0,W39/W13,0)</f>
        <v>0.668152777777778</v>
      </c>
      <c r="X40" s="25" t="n">
        <f aca="false">IF(X13&gt;0,X39/X13,0)</f>
        <v>0.681496732026144</v>
      </c>
      <c r="Y40" s="25" t="n">
        <f aca="false">IF(Y13&gt;0,Y39/Y13,0)</f>
        <v>0.693358024691358</v>
      </c>
      <c r="Z40" s="25" t="n">
        <f aca="false">IF(Z13&gt;0,Z39/Z13,0)</f>
        <v>0.713522222222222</v>
      </c>
      <c r="AA40" s="26" t="n">
        <f aca="false">AA39/AA13</f>
        <v>0.639381731424676</v>
      </c>
      <c r="AB40" s="27" t="n">
        <f aca="false">AB39/AB13</f>
        <v>0.564060354374308</v>
      </c>
    </row>
    <row r="41" customFormat="false" ht="15" hidden="false" customHeight="true" outlineLevel="0" collapsed="false">
      <c r="N41" s="14"/>
    </row>
    <row r="42" customFormat="false" ht="15" hidden="false" customHeight="true" outlineLevel="0" collapsed="false">
      <c r="A42" s="7" t="s">
        <v>52</v>
      </c>
      <c r="N42" s="14"/>
    </row>
    <row r="43" customFormat="false" ht="15" hidden="false" customHeight="true" outlineLevel="0" collapsed="false">
      <c r="A43" s="10" t="s">
        <v>53</v>
      </c>
      <c r="B43" s="28" t="n">
        <f aca="false">B39</f>
        <v>-4042</v>
      </c>
      <c r="C43" s="28" t="n">
        <f aca="false">B43+C39</f>
        <v>-8084</v>
      </c>
      <c r="D43" s="28" t="n">
        <f aca="false">C43+D39</f>
        <v>-10001</v>
      </c>
      <c r="E43" s="28" t="n">
        <f aca="false">D43+E39</f>
        <v>-12418</v>
      </c>
      <c r="F43" s="28" t="n">
        <f aca="false">E43+F39</f>
        <v>-12710</v>
      </c>
      <c r="G43" s="28" t="n">
        <f aca="false">F43+G39</f>
        <v>-7977</v>
      </c>
      <c r="H43" s="28" t="n">
        <f aca="false">G43+H39</f>
        <v>-3447.5</v>
      </c>
      <c r="I43" s="28" t="n">
        <f aca="false">H43+I39</f>
        <v>1082</v>
      </c>
      <c r="J43" s="28" t="n">
        <f aca="false">I43+J39</f>
        <v>8094</v>
      </c>
      <c r="K43" s="28" t="n">
        <f aca="false">J43+K39</f>
        <v>18238.5</v>
      </c>
      <c r="L43" s="28" t="n">
        <f aca="false">K43+L39</f>
        <v>27733</v>
      </c>
      <c r="M43" s="28" t="n">
        <f aca="false">L43+M39</f>
        <v>40360</v>
      </c>
      <c r="N43" s="28" t="n">
        <f aca="false">M43</f>
        <v>40360</v>
      </c>
      <c r="O43" s="28" t="n">
        <f aca="false">M43+O39</f>
        <v>57947</v>
      </c>
      <c r="P43" s="28" t="n">
        <f aca="false">O43+P39</f>
        <v>79561.5</v>
      </c>
      <c r="Q43" s="28" t="n">
        <f aca="false">P43+Q39</f>
        <v>105203.5</v>
      </c>
      <c r="R43" s="28" t="n">
        <f aca="false">Q43+R39</f>
        <v>134023</v>
      </c>
      <c r="S43" s="28" t="n">
        <f aca="false">R43+S39</f>
        <v>166870</v>
      </c>
      <c r="T43" s="28" t="n">
        <f aca="false">S43+T39</f>
        <v>203744.5</v>
      </c>
      <c r="U43" s="28" t="n">
        <f aca="false">T43+U39</f>
        <v>244646.5</v>
      </c>
      <c r="V43" s="28" t="n">
        <f aca="false">U43+V39</f>
        <v>288726</v>
      </c>
      <c r="W43" s="28" t="n">
        <f aca="false">V43+W39</f>
        <v>336833</v>
      </c>
      <c r="X43" s="28" t="n">
        <f aca="false">W43+X39</f>
        <v>388967.5</v>
      </c>
      <c r="Y43" s="28" t="n">
        <f aca="false">X43+Y39</f>
        <v>445129.5</v>
      </c>
      <c r="Z43" s="28" t="n">
        <f aca="false">Y43+Z39</f>
        <v>509346.5</v>
      </c>
      <c r="AA43" s="28" t="n">
        <f aca="false">Z43</f>
        <v>509346.5</v>
      </c>
      <c r="AB43" s="19" t="n">
        <f aca="false">Z43</f>
        <v>509346.5</v>
      </c>
    </row>
    <row r="44" customFormat="false" ht="15" hidden="false" customHeight="true" outlineLevel="0" collapsed="false">
      <c r="A44" s="10" t="s">
        <v>54</v>
      </c>
      <c r="B44" s="28" t="n">
        <f aca="false">MAX(0,240000-B43)</f>
        <v>244042</v>
      </c>
      <c r="C44" s="28" t="n">
        <f aca="false">MAX(0,240000-C43)</f>
        <v>248084</v>
      </c>
      <c r="D44" s="28" t="n">
        <f aca="false">MAX(0,240000-D43)</f>
        <v>250001</v>
      </c>
      <c r="E44" s="28" t="n">
        <f aca="false">MAX(0,240000-E43)</f>
        <v>252418</v>
      </c>
      <c r="F44" s="28" t="n">
        <f aca="false">MAX(0,240000-F43)</f>
        <v>252710</v>
      </c>
      <c r="G44" s="28" t="n">
        <f aca="false">MAX(0,240000-G43)</f>
        <v>247977</v>
      </c>
      <c r="H44" s="28" t="n">
        <f aca="false">MAX(0,240000-H43)</f>
        <v>243447.5</v>
      </c>
      <c r="I44" s="28" t="n">
        <f aca="false">MAX(0,240000-I43)</f>
        <v>238918</v>
      </c>
      <c r="J44" s="28" t="n">
        <f aca="false">MAX(0,240000-J43)</f>
        <v>231906</v>
      </c>
      <c r="K44" s="28" t="n">
        <f aca="false">MAX(0,240000-K43)</f>
        <v>221761.5</v>
      </c>
      <c r="L44" s="28" t="n">
        <f aca="false">MAX(0,240000-L43)</f>
        <v>212267</v>
      </c>
      <c r="M44" s="28" t="n">
        <f aca="false">MAX(0,240000-M43)</f>
        <v>199640</v>
      </c>
      <c r="N44" s="28" t="n">
        <f aca="false">MAX(0,240000-N43)</f>
        <v>199640</v>
      </c>
      <c r="O44" s="28" t="n">
        <f aca="false">MAX(0,240000-O43)</f>
        <v>182053</v>
      </c>
      <c r="P44" s="28" t="n">
        <f aca="false">MAX(0,240000-P43)</f>
        <v>160438.5</v>
      </c>
      <c r="Q44" s="28" t="n">
        <f aca="false">MAX(0,240000-Q43)</f>
        <v>134796.5</v>
      </c>
      <c r="R44" s="28" t="n">
        <f aca="false">MAX(0,240000-R43)</f>
        <v>105977</v>
      </c>
      <c r="S44" s="28" t="n">
        <f aca="false">MAX(0,240000-S43)</f>
        <v>73130</v>
      </c>
      <c r="T44" s="28" t="n">
        <f aca="false">MAX(0,240000-T43)</f>
        <v>36255.5</v>
      </c>
      <c r="U44" s="28" t="n">
        <f aca="false">MAX(0,240000-U43)</f>
        <v>0</v>
      </c>
      <c r="V44" s="28" t="n">
        <f aca="false">MAX(0,240000-V43)</f>
        <v>0</v>
      </c>
      <c r="W44" s="28" t="n">
        <f aca="false">MAX(0,240000-W43)</f>
        <v>0</v>
      </c>
      <c r="X44" s="28" t="n">
        <f aca="false">MAX(0,240000-X43)</f>
        <v>0</v>
      </c>
      <c r="Y44" s="28" t="n">
        <f aca="false">MAX(0,240000-Y43)</f>
        <v>0</v>
      </c>
      <c r="Z44" s="28" t="n">
        <f aca="false">MAX(0,240000-Z43)</f>
        <v>0</v>
      </c>
      <c r="AA44" s="28" t="n">
        <f aca="false">MAX(0,240000-AA43)</f>
        <v>0</v>
      </c>
      <c r="AB44" s="19" t="n">
        <f aca="false">MAX(0,240000-AB43)</f>
        <v>0</v>
      </c>
    </row>
    <row r="45" customFormat="false" ht="15" hidden="false" customHeight="true" outlineLevel="0" collapsed="false">
      <c r="A45" s="10" t="s">
        <v>55</v>
      </c>
      <c r="B45" s="29" t="str">
        <f aca="false">IF(B44&lt;=0,"✓ YES","NO")</f>
        <v>NO</v>
      </c>
      <c r="C45" s="29" t="str">
        <f aca="false">IF(C44&lt;=0,"✓ YES","NO")</f>
        <v>NO</v>
      </c>
      <c r="D45" s="29" t="str">
        <f aca="false">IF(D44&lt;=0,"✓ YES","NO")</f>
        <v>NO</v>
      </c>
      <c r="E45" s="29" t="str">
        <f aca="false">IF(E44&lt;=0,"✓ YES","NO")</f>
        <v>NO</v>
      </c>
      <c r="F45" s="29" t="str">
        <f aca="false">IF(F44&lt;=0,"✓ YES","NO")</f>
        <v>NO</v>
      </c>
      <c r="G45" s="29" t="str">
        <f aca="false">IF(G44&lt;=0,"✓ YES","NO")</f>
        <v>NO</v>
      </c>
      <c r="H45" s="29" t="str">
        <f aca="false">IF(H44&lt;=0,"✓ YES","NO")</f>
        <v>NO</v>
      </c>
      <c r="I45" s="29" t="str">
        <f aca="false">IF(I44&lt;=0,"✓ YES","NO")</f>
        <v>NO</v>
      </c>
      <c r="J45" s="29" t="str">
        <f aca="false">IF(J44&lt;=0,"✓ YES","NO")</f>
        <v>NO</v>
      </c>
      <c r="K45" s="29" t="str">
        <f aca="false">IF(K44&lt;=0,"✓ YES","NO")</f>
        <v>NO</v>
      </c>
      <c r="L45" s="29" t="str">
        <f aca="false">IF(L44&lt;=0,"✓ YES","NO")</f>
        <v>NO</v>
      </c>
      <c r="M45" s="29" t="str">
        <f aca="false">IF(M44&lt;=0,"✓ YES","NO")</f>
        <v>NO</v>
      </c>
      <c r="N45" s="29" t="str">
        <f aca="false">IF(N44&lt;=0,"✓ YES","NO")</f>
        <v>NO</v>
      </c>
      <c r="O45" s="29" t="str">
        <f aca="false">IF(O44&lt;=0,"✓ YES","NO")</f>
        <v>NO</v>
      </c>
      <c r="P45" s="29" t="str">
        <f aca="false">IF(P44&lt;=0,"✓ YES","NO")</f>
        <v>NO</v>
      </c>
      <c r="Q45" s="29" t="str">
        <f aca="false">IF(Q44&lt;=0,"✓ YES","NO")</f>
        <v>NO</v>
      </c>
      <c r="R45" s="29" t="str">
        <f aca="false">IF(R44&lt;=0,"✓ YES","NO")</f>
        <v>NO</v>
      </c>
      <c r="S45" s="29" t="str">
        <f aca="false">IF(S44&lt;=0,"✓ YES","NO")</f>
        <v>NO</v>
      </c>
      <c r="T45" s="29" t="str">
        <f aca="false">IF(T44&lt;=0,"✓ YES","NO")</f>
        <v>NO</v>
      </c>
      <c r="U45" s="29" t="str">
        <f aca="false">IF(U44&lt;=0,"✓ YES","NO")</f>
        <v>✓ YES</v>
      </c>
      <c r="V45" s="29" t="str">
        <f aca="false">IF(V44&lt;=0,"✓ YES","NO")</f>
        <v>✓ YES</v>
      </c>
      <c r="W45" s="29" t="str">
        <f aca="false">IF(W44&lt;=0,"✓ YES","NO")</f>
        <v>✓ YES</v>
      </c>
      <c r="X45" s="29" t="str">
        <f aca="false">IF(X44&lt;=0,"✓ YES","NO")</f>
        <v>✓ YES</v>
      </c>
      <c r="Y45" s="29" t="str">
        <f aca="false">IF(Y44&lt;=0,"✓ YES","NO")</f>
        <v>✓ YES</v>
      </c>
      <c r="Z45" s="29" t="str">
        <f aca="false">IF(Z44&lt;=0,"✓ YES","NO")</f>
        <v>✓ YES</v>
      </c>
      <c r="AA45" s="29" t="str">
        <f aca="false">IF(AA44&lt;=0,"✓ YES","NO")</f>
        <v>✓ YES</v>
      </c>
      <c r="AB45" s="30" t="str">
        <f aca="false">IF(AB44&lt;=0,"✓ YES","NO")</f>
        <v>✓ YES</v>
      </c>
    </row>
    <row r="47" customFormat="false" ht="14.25" hidden="false" customHeight="true" outlineLevel="0" collapsed="false">
      <c r="A47" s="31"/>
    </row>
    <row r="48" customFormat="false" ht="14.25" hidden="false" customHeight="true" outlineLevel="0" collapsed="false">
      <c r="A48" s="32"/>
    </row>
    <row r="49" customFormat="false" ht="14.25" hidden="false" customHeight="true" outlineLevel="0" collapsed="false">
      <c r="A49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30"/>
  </cols>
  <sheetData>
    <row r="1" customFormat="false" ht="15" hidden="false" customHeight="true" outlineLevel="0" collapsed="false">
      <c r="A1" s="33" t="s">
        <v>56</v>
      </c>
      <c r="B1" s="34"/>
      <c r="C1" s="34"/>
    </row>
    <row r="2" customFormat="false" ht="15" hidden="false" customHeight="true" outlineLevel="0" collapsed="false">
      <c r="A2" s="35" t="s">
        <v>57</v>
      </c>
      <c r="B2" s="35" t="s">
        <v>58</v>
      </c>
      <c r="C2" s="35" t="s">
        <v>59</v>
      </c>
    </row>
    <row r="3" customFormat="false" ht="15" hidden="false" customHeight="true" outlineLevel="0" collapsed="false"/>
    <row r="4" customFormat="false" ht="15" hidden="false" customHeight="true" outlineLevel="0" collapsed="false">
      <c r="A4" s="7" t="s">
        <v>60</v>
      </c>
      <c r="B4" s="8"/>
      <c r="C4" s="36"/>
    </row>
    <row r="5" customFormat="false" ht="15" hidden="false" customHeight="true" outlineLevel="0" collapsed="false">
      <c r="A5" s="1" t="s">
        <v>61</v>
      </c>
      <c r="B5" s="37" t="n">
        <v>2500</v>
      </c>
      <c r="C5" s="1" t="s">
        <v>62</v>
      </c>
    </row>
    <row r="6" customFormat="false" ht="15" hidden="false" customHeight="true" outlineLevel="0" collapsed="false">
      <c r="A6" s="1" t="s">
        <v>63</v>
      </c>
      <c r="B6" s="37" t="n">
        <v>3500</v>
      </c>
      <c r="C6" s="1" t="s">
        <v>64</v>
      </c>
    </row>
    <row r="7" customFormat="false" ht="15" hidden="false" customHeight="true" outlineLevel="0" collapsed="false">
      <c r="A7" s="1" t="s">
        <v>65</v>
      </c>
      <c r="B7" s="38" t="n">
        <v>4500</v>
      </c>
      <c r="C7" s="1" t="s">
        <v>66</v>
      </c>
    </row>
    <row r="8" customFormat="false" ht="14.25" hidden="false" customHeight="true" outlineLevel="0" collapsed="false">
      <c r="A8" s="1" t="s">
        <v>67</v>
      </c>
      <c r="B8" s="39" t="n">
        <v>0.1</v>
      </c>
      <c r="C8" s="1" t="s">
        <v>68</v>
      </c>
    </row>
    <row r="9" customFormat="false" ht="15" hidden="false" customHeight="true" outlineLevel="0" collapsed="false">
      <c r="A9" s="9"/>
      <c r="B9" s="8"/>
      <c r="C9" s="36"/>
    </row>
    <row r="10" customFormat="false" ht="15" hidden="false" customHeight="true" outlineLevel="0" collapsed="false">
      <c r="A10" s="7" t="s">
        <v>69</v>
      </c>
      <c r="B10" s="37"/>
    </row>
    <row r="11" customFormat="false" ht="15" hidden="false" customHeight="true" outlineLevel="0" collapsed="false">
      <c r="A11" s="1" t="s">
        <v>70</v>
      </c>
      <c r="B11" s="40" t="n">
        <v>500</v>
      </c>
      <c r="C11" s="1" t="s">
        <v>71</v>
      </c>
    </row>
    <row r="12" customFormat="false" ht="15" hidden="false" customHeight="true" outlineLevel="0" collapsed="false">
      <c r="A12" s="1" t="s">
        <v>72</v>
      </c>
      <c r="B12" s="37" t="n">
        <v>800</v>
      </c>
      <c r="C12" s="1" t="s">
        <v>73</v>
      </c>
    </row>
    <row r="13" customFormat="false" ht="15" hidden="false" customHeight="true" outlineLevel="0" collapsed="false">
      <c r="A13" s="1" t="s">
        <v>74</v>
      </c>
      <c r="B13" s="37" t="n">
        <v>1200</v>
      </c>
      <c r="C13" s="1" t="s">
        <v>75</v>
      </c>
    </row>
    <row r="14" customFormat="false" ht="15" hidden="false" customHeight="true" outlineLevel="0" collapsed="false">
      <c r="B14" s="41"/>
    </row>
    <row r="15" customFormat="false" ht="15" hidden="false" customHeight="true" outlineLevel="0" collapsed="false">
      <c r="A15" s="7" t="s">
        <v>76</v>
      </c>
      <c r="B15" s="37"/>
    </row>
    <row r="16" customFormat="false" ht="15" hidden="false" customHeight="true" outlineLevel="0" collapsed="false">
      <c r="A16" s="14" t="s">
        <v>77</v>
      </c>
      <c r="B16" s="41" t="n">
        <v>500</v>
      </c>
      <c r="C16" s="1" t="s">
        <v>78</v>
      </c>
    </row>
    <row r="17" customFormat="false" ht="15" hidden="false" customHeight="true" outlineLevel="0" collapsed="false">
      <c r="A17" s="1" t="s">
        <v>79</v>
      </c>
      <c r="B17" s="1" t="n">
        <v>650</v>
      </c>
      <c r="C17" s="1" t="s">
        <v>80</v>
      </c>
    </row>
    <row r="18" customFormat="false" ht="15" hidden="false" customHeight="true" outlineLevel="0" collapsed="false">
      <c r="A18" s="9" t="s">
        <v>81</v>
      </c>
      <c r="B18" s="8" t="n">
        <v>850</v>
      </c>
      <c r="C18" s="36" t="s">
        <v>82</v>
      </c>
    </row>
    <row r="19" customFormat="false" ht="15" hidden="false" customHeight="true" outlineLevel="0" collapsed="false">
      <c r="B19" s="42"/>
    </row>
    <row r="20" customFormat="false" ht="15" hidden="false" customHeight="true" outlineLevel="0" collapsed="false">
      <c r="A20" s="7" t="s">
        <v>83</v>
      </c>
      <c r="B20" s="42"/>
    </row>
    <row r="21" customFormat="false" ht="15" hidden="false" customHeight="true" outlineLevel="0" collapsed="false">
      <c r="A21" s="1" t="s">
        <v>84</v>
      </c>
      <c r="B21" s="43" t="n">
        <v>3000</v>
      </c>
      <c r="C21" s="1" t="s">
        <v>85</v>
      </c>
    </row>
    <row r="22" customFormat="false" ht="15" hidden="false" customHeight="true" outlineLevel="0" collapsed="false">
      <c r="A22" s="1" t="s">
        <v>86</v>
      </c>
      <c r="B22" s="43" t="n">
        <v>1500</v>
      </c>
      <c r="C22" s="1" t="s">
        <v>85</v>
      </c>
    </row>
    <row r="23" customFormat="false" ht="15" hidden="false" customHeight="true" outlineLevel="0" collapsed="false">
      <c r="A23" s="1" t="s">
        <v>87</v>
      </c>
      <c r="B23" s="38" t="n">
        <v>3000</v>
      </c>
      <c r="C23" s="1" t="s">
        <v>88</v>
      </c>
    </row>
    <row r="24" customFormat="false" ht="15" hidden="false" customHeight="true" outlineLevel="0" collapsed="false">
      <c r="A24" s="1" t="s">
        <v>89</v>
      </c>
      <c r="B24" s="44" t="n">
        <v>4000</v>
      </c>
      <c r="C24" s="1" t="s">
        <v>90</v>
      </c>
    </row>
    <row r="25" customFormat="false" ht="15" hidden="false" customHeight="true" outlineLevel="0" collapsed="false">
      <c r="A25" s="9" t="s">
        <v>91</v>
      </c>
      <c r="B25" s="45" t="n">
        <v>0.05</v>
      </c>
      <c r="C25" s="36" t="s">
        <v>92</v>
      </c>
    </row>
    <row r="26" customFormat="false" ht="15" hidden="false" customHeight="true" outlineLevel="0" collapsed="false">
      <c r="A26" s="1" t="s">
        <v>93</v>
      </c>
      <c r="B26" s="42" t="n">
        <v>0.005</v>
      </c>
      <c r="C26" s="1" t="s">
        <v>94</v>
      </c>
    </row>
    <row r="27" customFormat="false" ht="15" hidden="false" customHeight="true" outlineLevel="0" collapsed="false">
      <c r="A27" s="7" t="s">
        <v>95</v>
      </c>
      <c r="B27" s="42"/>
    </row>
    <row r="28" customFormat="false" ht="15" hidden="false" customHeight="true" outlineLevel="0" collapsed="false">
      <c r="A28" s="1" t="s">
        <v>96</v>
      </c>
      <c r="B28" s="38" t="n">
        <v>40000</v>
      </c>
      <c r="C28" s="1" t="s">
        <v>97</v>
      </c>
    </row>
    <row r="29" customFormat="false" ht="15" hidden="false" customHeight="true" outlineLevel="0" collapsed="false">
      <c r="A29" s="1" t="s">
        <v>98</v>
      </c>
      <c r="B29" s="38" t="n">
        <v>200000</v>
      </c>
      <c r="C29" s="1" t="s">
        <v>99</v>
      </c>
    </row>
    <row r="30" customFormat="false" ht="15" hidden="false" customHeight="true" outlineLevel="0" collapsed="false">
      <c r="A30" s="9" t="s">
        <v>100</v>
      </c>
      <c r="B30" s="46" t="n">
        <f aca="false">B28+B29</f>
        <v>240000</v>
      </c>
      <c r="C30" s="36" t="s">
        <v>101</v>
      </c>
    </row>
    <row r="31" customFormat="false" ht="15" hidden="false" customHeight="true" outlineLevel="0" collapsed="false">
      <c r="B31" s="37"/>
    </row>
    <row r="32" customFormat="false" ht="15" hidden="false" customHeight="true" outlineLevel="0" collapsed="false">
      <c r="A32" s="7" t="s">
        <v>102</v>
      </c>
      <c r="B32" s="37"/>
    </row>
    <row r="33" customFormat="false" ht="15" hidden="false" customHeight="true" outlineLevel="0" collapsed="false">
      <c r="A33" s="1" t="s">
        <v>103</v>
      </c>
      <c r="B33" s="43" t="n">
        <v>2</v>
      </c>
      <c r="C33" s="1" t="s">
        <v>104</v>
      </c>
    </row>
    <row r="34" customFormat="false" ht="15" hidden="false" customHeight="true" outlineLevel="0" collapsed="false">
      <c r="A34" s="1" t="s">
        <v>105</v>
      </c>
      <c r="B34" s="38" t="n">
        <v>6</v>
      </c>
      <c r="C34" s="1" t="s">
        <v>106</v>
      </c>
    </row>
    <row r="35" customFormat="false" ht="15" hidden="false" customHeight="true" outlineLevel="0" collapsed="false">
      <c r="A35" s="1" t="s">
        <v>107</v>
      </c>
      <c r="B35" s="1" t="n">
        <v>8</v>
      </c>
      <c r="C35" s="1" t="s">
        <v>108</v>
      </c>
    </row>
    <row r="36" customFormat="false" ht="15" hidden="false" customHeight="true" outlineLevel="0" collapsed="false">
      <c r="A36" s="9" t="s">
        <v>109</v>
      </c>
      <c r="B36" s="8" t="s">
        <v>110</v>
      </c>
      <c r="C36" s="36" t="s">
        <v>111</v>
      </c>
    </row>
    <row r="37" customFormat="false" ht="15" hidden="false" customHeight="true" outlineLevel="0" collapsed="false">
      <c r="B37" s="38"/>
    </row>
    <row r="38" customFormat="false" ht="15" hidden="false" customHeight="true" outlineLevel="0" collapsed="false">
      <c r="A38" s="14" t="s">
        <v>112</v>
      </c>
      <c r="B38" s="38"/>
    </row>
    <row r="39" customFormat="false" ht="15" hidden="false" customHeight="true" outlineLevel="0" collapsed="false">
      <c r="A39" s="1" t="s">
        <v>113</v>
      </c>
      <c r="B39" s="15" t="n">
        <v>60</v>
      </c>
      <c r="C39" s="1" t="s">
        <v>114</v>
      </c>
    </row>
    <row r="40" customFormat="false" ht="15" hidden="false" customHeight="true" outlineLevel="0" collapsed="false">
      <c r="A40" s="1" t="s">
        <v>115</v>
      </c>
      <c r="B40" s="1" t="n">
        <v>4000</v>
      </c>
      <c r="C40" s="1" t="s">
        <v>116</v>
      </c>
    </row>
    <row r="41" customFormat="false" ht="15" hidden="false" customHeight="true" outlineLevel="0" collapsed="false">
      <c r="A41" s="9" t="s">
        <v>117</v>
      </c>
      <c r="B41" s="8" t="n">
        <v>100000</v>
      </c>
      <c r="C41" s="1" t="s">
        <v>118</v>
      </c>
    </row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>
      <c r="A45" s="9"/>
      <c r="B45" s="8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47" t="s">
        <v>119</v>
      </c>
    </row>
    <row r="2" customFormat="false" ht="14.25" hidden="false" customHeight="true" outlineLevel="0" collapsed="false">
      <c r="B2" s="48" t="s">
        <v>120</v>
      </c>
      <c r="C2" s="48" t="s">
        <v>121</v>
      </c>
      <c r="D2" s="48" t="s">
        <v>122</v>
      </c>
    </row>
    <row r="3" customFormat="false" ht="15" hidden="false" customHeight="true" outlineLevel="0" collapsed="false">
      <c r="A3" s="9" t="s">
        <v>123</v>
      </c>
      <c r="B3" s="49" t="s">
        <v>124</v>
      </c>
      <c r="C3" s="49" t="s">
        <v>125</v>
      </c>
      <c r="D3" s="49" t="s">
        <v>126</v>
      </c>
    </row>
    <row r="4" customFormat="false" ht="15" hidden="false" customHeight="true" outlineLevel="0" collapsed="false">
      <c r="A4" s="1" t="s">
        <v>127</v>
      </c>
      <c r="B4" s="38" t="n">
        <v>2500</v>
      </c>
      <c r="C4" s="38" t="n">
        <v>3500</v>
      </c>
      <c r="D4" s="38" t="n">
        <v>4500</v>
      </c>
    </row>
    <row r="5" customFormat="false" ht="15" hidden="false" customHeight="true" outlineLevel="0" collapsed="false">
      <c r="A5" s="1" t="s">
        <v>128</v>
      </c>
      <c r="B5" s="38" t="n">
        <f aca="false">-B4*0.1</f>
        <v>-250</v>
      </c>
      <c r="C5" s="38" t="n">
        <f aca="false">-C4*0.1</f>
        <v>-350</v>
      </c>
      <c r="D5" s="38" t="n">
        <f aca="false">-D4*0.1</f>
        <v>-450</v>
      </c>
    </row>
    <row r="6" customFormat="false" ht="15" hidden="false" customHeight="true" outlineLevel="0" collapsed="false">
      <c r="A6" s="50" t="s">
        <v>129</v>
      </c>
      <c r="B6" s="51" t="n">
        <f aca="false">B4+B5</f>
        <v>2250</v>
      </c>
      <c r="C6" s="51" t="n">
        <f aca="false">C4+C5</f>
        <v>3150</v>
      </c>
      <c r="D6" s="51" t="n">
        <f aca="false">D4+D5</f>
        <v>4050</v>
      </c>
    </row>
    <row r="8" customFormat="false" ht="15" hidden="false" customHeight="true" outlineLevel="0" collapsed="false">
      <c r="A8" s="7" t="s">
        <v>130</v>
      </c>
    </row>
    <row r="9" customFormat="false" ht="15" hidden="false" customHeight="true" outlineLevel="0" collapsed="false">
      <c r="A9" s="1" t="s">
        <v>131</v>
      </c>
      <c r="B9" s="38" t="n">
        <f aca="false">B4*0.05</f>
        <v>125</v>
      </c>
      <c r="C9" s="38" t="n">
        <f aca="false">C4*0.05</f>
        <v>175</v>
      </c>
      <c r="D9" s="38" t="n">
        <f aca="false">D4*0.005</f>
        <v>22.5</v>
      </c>
    </row>
    <row r="10" customFormat="false" ht="15" hidden="false" customHeight="true" outlineLevel="0" collapsed="false">
      <c r="A10" s="1" t="s">
        <v>132</v>
      </c>
      <c r="B10" s="38" t="n">
        <v>200</v>
      </c>
      <c r="C10" s="38" t="n">
        <v>250</v>
      </c>
      <c r="D10" s="38" t="n">
        <v>300</v>
      </c>
    </row>
    <row r="11" customFormat="false" ht="15" hidden="false" customHeight="true" outlineLevel="0" collapsed="false">
      <c r="A11" s="1" t="s">
        <v>133</v>
      </c>
      <c r="B11" s="38" t="n">
        <f aca="false">B9+B10</f>
        <v>325</v>
      </c>
      <c r="C11" s="38" t="n">
        <f aca="false">C9+C10</f>
        <v>425</v>
      </c>
      <c r="D11" s="38" t="n">
        <f aca="false">D9+D10</f>
        <v>322.5</v>
      </c>
    </row>
    <row r="13" customFormat="false" ht="15" hidden="false" customHeight="true" outlineLevel="0" collapsed="false">
      <c r="A13" s="7" t="s">
        <v>134</v>
      </c>
    </row>
    <row r="14" customFormat="false" ht="15" hidden="false" customHeight="true" outlineLevel="0" collapsed="false">
      <c r="A14" s="50" t="s">
        <v>135</v>
      </c>
      <c r="B14" s="51" t="n">
        <f aca="false">B6-B11</f>
        <v>1925</v>
      </c>
      <c r="C14" s="51" t="n">
        <f aca="false">C6-C11</f>
        <v>2725</v>
      </c>
      <c r="D14" s="51" t="n">
        <f aca="false">D6-D11</f>
        <v>3727.5</v>
      </c>
    </row>
    <row r="15" customFormat="false" ht="15" hidden="false" customHeight="true" outlineLevel="0" collapsed="false">
      <c r="A15" s="1" t="s">
        <v>136</v>
      </c>
      <c r="B15" s="44" t="n">
        <f aca="false">B14/B4</f>
        <v>0.77</v>
      </c>
      <c r="C15" s="44" t="n">
        <f aca="false">C14/C4</f>
        <v>0.778571428571429</v>
      </c>
      <c r="D15" s="44" t="n">
        <f aca="false">D14/D4</f>
        <v>0.828333333333333</v>
      </c>
    </row>
    <row r="17" customFormat="false" ht="15" hidden="false" customHeight="true" outlineLevel="0" collapsed="false">
      <c r="A17" s="7" t="s">
        <v>137</v>
      </c>
    </row>
    <row r="18" customFormat="false" ht="15" hidden="false" customHeight="true" outlineLevel="0" collapsed="false">
      <c r="A18" s="1" t="s">
        <v>138</v>
      </c>
      <c r="B18" s="38" t="n">
        <f aca="false">'Key Assumptions'!B11+'Key Assumptions'!B12</f>
        <v>1300</v>
      </c>
      <c r="C18" s="38"/>
      <c r="D18" s="38"/>
    </row>
    <row r="19" customFormat="false" ht="15" hidden="false" customHeight="true" outlineLevel="0" collapsed="false">
      <c r="A19" s="1" t="s">
        <v>139</v>
      </c>
      <c r="B19" s="38"/>
      <c r="C19" s="38" t="n">
        <f aca="false">'Key Assumptions'!B11+'Key Assumptions'!B13</f>
        <v>1700</v>
      </c>
      <c r="D19" s="38" t="n">
        <f aca="false">'Key Assumptions'!B11+'Key Assumptions'!B13</f>
        <v>1700</v>
      </c>
    </row>
    <row r="20" customFormat="false" ht="14.25" hidden="false" customHeight="true" outlineLevel="0" collapsed="false">
      <c r="A20" s="50" t="s">
        <v>140</v>
      </c>
      <c r="B20" s="50" t="n">
        <f aca="false">CEILING(B18/B14,1)</f>
        <v>1</v>
      </c>
      <c r="C20" s="50" t="n">
        <f aca="false">CEILING(C19/C14,1)</f>
        <v>1</v>
      </c>
      <c r="D20" s="50" t="n">
        <f aca="false">CEILING(D19/D14,1)</f>
        <v>1</v>
      </c>
    </row>
    <row r="21" customFormat="false" ht="15" hidden="false" customHeight="true" outlineLevel="0" collapsed="false">
      <c r="A21" s="1" t="s">
        <v>141</v>
      </c>
    </row>
    <row r="22" customFormat="false" ht="14.25" hidden="false" customHeight="true" outlineLevel="0" collapsed="false">
      <c r="A22" s="7" t="s">
        <v>142</v>
      </c>
    </row>
    <row r="23" customFormat="false" ht="14.25" hidden="false" customHeight="true" outlineLevel="0" collapsed="false">
      <c r="A23" s="1" t="s">
        <v>143</v>
      </c>
    </row>
    <row r="24" customFormat="false" ht="14.25" hidden="false" customHeight="true" outlineLevel="0" collapsed="false">
      <c r="A24" s="1" t="s">
        <v>144</v>
      </c>
    </row>
    <row r="25" customFormat="false" ht="14.25" hidden="false" customHeight="true" outlineLevel="0" collapsed="false">
      <c r="A25" s="1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4" min="2" style="1" width="12"/>
  </cols>
  <sheetData>
    <row r="1" customFormat="false" ht="15" hidden="false" customHeight="true" outlineLevel="0" collapsed="false">
      <c r="A1" s="52"/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52" t="s">
        <v>146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customFormat="false" ht="15" hidden="false" customHeight="true" outlineLevel="0" collapsed="false">
      <c r="A2" s="54" t="s">
        <v>147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customFormat="false" ht="15" hidden="false" customHeight="true" outlineLevel="0" collapsed="false">
      <c r="A3" s="57" t="s">
        <v>148</v>
      </c>
      <c r="B3" s="58" t="n">
        <v>0</v>
      </c>
      <c r="C3" s="58" t="n">
        <f aca="false">B17</f>
        <v>32025</v>
      </c>
      <c r="D3" s="58" t="n">
        <f aca="false">C17</f>
        <v>28050</v>
      </c>
      <c r="E3" s="58" t="n">
        <f aca="false">D17</f>
        <v>26200</v>
      </c>
      <c r="F3" s="58" t="n">
        <f aca="false">E17</f>
        <v>23850</v>
      </c>
      <c r="G3" s="58" t="n">
        <f aca="false">F17</f>
        <v>23625</v>
      </c>
      <c r="H3" s="58" t="n">
        <f aca="false">G17</f>
        <v>28425</v>
      </c>
      <c r="I3" s="58" t="n">
        <f aca="false">H17</f>
        <v>134687.5</v>
      </c>
      <c r="J3" s="58" t="n">
        <f aca="false">I17</f>
        <v>140950</v>
      </c>
      <c r="K3" s="58" t="n">
        <f aca="false">J17</f>
        <v>149695</v>
      </c>
      <c r="L3" s="58" t="n">
        <f aca="false">K17</f>
        <v>161572.5</v>
      </c>
      <c r="M3" s="58" t="n">
        <f aca="false">L17</f>
        <v>172800</v>
      </c>
      <c r="N3" s="58"/>
      <c r="O3" s="59" t="n">
        <f aca="false">M17</f>
        <v>187160</v>
      </c>
      <c r="P3" s="60" t="n">
        <f aca="false">O17</f>
        <v>206480</v>
      </c>
      <c r="Q3" s="60" t="n">
        <f aca="false">P17</f>
        <v>229827.5</v>
      </c>
      <c r="R3" s="60" t="n">
        <f aca="false">Q17</f>
        <v>257202.5</v>
      </c>
      <c r="S3" s="60" t="n">
        <f aca="false">R17</f>
        <v>287755</v>
      </c>
      <c r="T3" s="60" t="n">
        <f aca="false">S17</f>
        <v>322335</v>
      </c>
      <c r="U3" s="60" t="n">
        <f aca="false">T17</f>
        <v>360942.5</v>
      </c>
      <c r="V3" s="60" t="n">
        <f aca="false">U17</f>
        <v>403577.5</v>
      </c>
      <c r="W3" s="60" t="n">
        <f aca="false">V17</f>
        <v>449390</v>
      </c>
      <c r="X3" s="60" t="n">
        <f aca="false">W17</f>
        <v>499230</v>
      </c>
      <c r="Y3" s="60" t="n">
        <f aca="false">X17</f>
        <v>553097.5</v>
      </c>
      <c r="Z3" s="60" t="n">
        <f aca="false">Y17</f>
        <v>610992.5</v>
      </c>
    </row>
    <row r="4" customFormat="false" ht="15" hidden="false" customHeight="true" outlineLevel="0" collapsed="false">
      <c r="A4" s="9" t="s">
        <v>149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customFormat="false" ht="15" hidden="false" customHeight="true" outlineLevel="0" collapsed="false">
      <c r="A5" s="56" t="s">
        <v>150</v>
      </c>
      <c r="B5" s="58" t="n">
        <v>40000</v>
      </c>
      <c r="C5" s="58" t="n">
        <v>0</v>
      </c>
      <c r="D5" s="58" t="n">
        <v>0</v>
      </c>
      <c r="E5" s="58" t="n">
        <v>0</v>
      </c>
      <c r="F5" s="58" t="n">
        <v>0</v>
      </c>
      <c r="G5" s="58" t="n">
        <v>0</v>
      </c>
      <c r="H5" s="58" t="n">
        <v>200000</v>
      </c>
      <c r="I5" s="58" t="n">
        <v>0</v>
      </c>
      <c r="J5" s="58" t="n">
        <v>0</v>
      </c>
      <c r="K5" s="58" t="n">
        <v>0</v>
      </c>
      <c r="L5" s="58" t="n">
        <v>0</v>
      </c>
      <c r="M5" s="58" t="n">
        <v>0</v>
      </c>
      <c r="N5" s="58" t="n">
        <f aca="false">SUM(B5:M5)</f>
        <v>240000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 customFormat="false" ht="15" hidden="false" customHeight="true" outlineLevel="0" collapsed="false">
      <c r="A6" s="56" t="s">
        <v>151</v>
      </c>
      <c r="B6" s="58" t="n">
        <f aca="false">'Monthly P&amp;L'!B13</f>
        <v>2500</v>
      </c>
      <c r="C6" s="58" t="n">
        <f aca="false">'Monthly P&amp;L'!C13</f>
        <v>2500</v>
      </c>
      <c r="D6" s="58" t="n">
        <f aca="false">'Monthly P&amp;L'!D13</f>
        <v>5000</v>
      </c>
      <c r="E6" s="58" t="n">
        <f aca="false">'Monthly P&amp;L'!E13</f>
        <v>5000</v>
      </c>
      <c r="F6" s="58" t="n">
        <f aca="false">'Monthly P&amp;L'!F13</f>
        <v>7500</v>
      </c>
      <c r="G6" s="58" t="n">
        <f aca="false">'Monthly P&amp;L'!G13</f>
        <v>14000</v>
      </c>
      <c r="H6" s="58" t="n">
        <f aca="false">'Monthly P&amp;L'!H13</f>
        <v>17500</v>
      </c>
      <c r="I6" s="58" t="n">
        <f aca="false">'Monthly P&amp;L'!I13</f>
        <v>17500</v>
      </c>
      <c r="J6" s="58" t="n">
        <f aca="false">'Monthly P&amp;L'!J13</f>
        <v>21000</v>
      </c>
      <c r="K6" s="58" t="n">
        <f aca="false">'Monthly P&amp;L'!K13</f>
        <v>24500</v>
      </c>
      <c r="L6" s="58" t="n">
        <f aca="false">'Monthly P&amp;L'!L13</f>
        <v>24500</v>
      </c>
      <c r="M6" s="58" t="n">
        <f aca="false">'Monthly P&amp;L'!M13</f>
        <v>28000</v>
      </c>
      <c r="N6" s="58"/>
      <c r="O6" s="38" t="n">
        <f aca="false">'Monthly P&amp;L'!O13</f>
        <v>36000</v>
      </c>
      <c r="P6" s="38" t="n">
        <f aca="false">'Monthly P&amp;L'!P13</f>
        <v>40500</v>
      </c>
      <c r="Q6" s="38" t="n">
        <f aca="false">'Monthly P&amp;L'!Q13</f>
        <v>45000</v>
      </c>
      <c r="R6" s="38" t="n">
        <f aca="false">'Monthly P&amp;L'!R13</f>
        <v>49500</v>
      </c>
      <c r="S6" s="38" t="n">
        <f aca="false">'Monthly P&amp;L'!S13</f>
        <v>54000</v>
      </c>
      <c r="T6" s="38" t="n">
        <f aca="false">'Monthly P&amp;L'!T13</f>
        <v>58500</v>
      </c>
      <c r="U6" s="38" t="n">
        <f aca="false">'Monthly P&amp;L'!U13</f>
        <v>63000</v>
      </c>
      <c r="V6" s="38" t="n">
        <f aca="false">'Monthly P&amp;L'!V13</f>
        <v>67500</v>
      </c>
      <c r="W6" s="38" t="n">
        <f aca="false">'Monthly P&amp;L'!W13</f>
        <v>72000</v>
      </c>
      <c r="X6" s="38" t="n">
        <f aca="false">'Monthly P&amp;L'!X13</f>
        <v>76500</v>
      </c>
      <c r="Y6" s="38" t="n">
        <f aca="false">'Monthly P&amp;L'!Y13</f>
        <v>81000</v>
      </c>
      <c r="Z6" s="38" t="n">
        <f aca="false">'Monthly P&amp;L'!Z13</f>
        <v>90000</v>
      </c>
    </row>
    <row r="7" customFormat="false" ht="15" hidden="false" customHeight="true" outlineLevel="0" collapsed="false">
      <c r="A7" s="9" t="s">
        <v>152</v>
      </c>
      <c r="B7" s="61" t="n">
        <f aca="false">B5+B6</f>
        <v>42500</v>
      </c>
      <c r="C7" s="61" t="n">
        <f aca="false">C5+C6</f>
        <v>2500</v>
      </c>
      <c r="D7" s="61" t="n">
        <f aca="false">D5+D6</f>
        <v>5000</v>
      </c>
      <c r="E7" s="61" t="n">
        <f aca="false">E5+E6</f>
        <v>5000</v>
      </c>
      <c r="F7" s="61" t="n">
        <f aca="false">F5+F6</f>
        <v>7500</v>
      </c>
      <c r="G7" s="61" t="n">
        <f aca="false">G5+G6</f>
        <v>14000</v>
      </c>
      <c r="H7" s="61" t="n">
        <f aca="false">H5+H6</f>
        <v>217500</v>
      </c>
      <c r="I7" s="61" t="n">
        <f aca="false">I5+I6</f>
        <v>17500</v>
      </c>
      <c r="J7" s="61" t="n">
        <f aca="false">J5+J6</f>
        <v>21000</v>
      </c>
      <c r="K7" s="61" t="n">
        <f aca="false">K5+K6</f>
        <v>24500</v>
      </c>
      <c r="L7" s="61" t="n">
        <f aca="false">L5+L6</f>
        <v>24500</v>
      </c>
      <c r="M7" s="61" t="n">
        <f aca="false">M5+M6</f>
        <v>28000</v>
      </c>
      <c r="N7" s="62"/>
      <c r="O7" s="8" t="n">
        <f aca="false">O5+O6</f>
        <v>36000</v>
      </c>
      <c r="P7" s="8" t="n">
        <f aca="false">P5+P6</f>
        <v>40500</v>
      </c>
      <c r="Q7" s="8" t="n">
        <f aca="false">Q5+Q6</f>
        <v>45000</v>
      </c>
      <c r="R7" s="8" t="n">
        <f aca="false">R5+R6</f>
        <v>49500</v>
      </c>
      <c r="S7" s="8" t="n">
        <f aca="false">S5+S6</f>
        <v>54000</v>
      </c>
      <c r="T7" s="8" t="n">
        <f aca="false">T5+T6</f>
        <v>58500</v>
      </c>
      <c r="U7" s="8" t="n">
        <f aca="false">U5+U6</f>
        <v>63000</v>
      </c>
      <c r="V7" s="8" t="n">
        <f aca="false">V5+V6</f>
        <v>67500</v>
      </c>
      <c r="W7" s="8" t="n">
        <f aca="false">W5+W6</f>
        <v>72000</v>
      </c>
      <c r="X7" s="8" t="n">
        <f aca="false">X5+X6</f>
        <v>76500</v>
      </c>
      <c r="Y7" s="8" t="n">
        <f aca="false">Y5+Y6</f>
        <v>81000</v>
      </c>
      <c r="Z7" s="8" t="n">
        <f aca="false">Z5+Z6</f>
        <v>90000</v>
      </c>
    </row>
    <row r="8" customFormat="false" ht="15" hidden="false" customHeight="true" outlineLevel="0" collapsed="false">
      <c r="A8" s="56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customFormat="false" ht="15" hidden="false" customHeight="true" outlineLevel="0" collapsed="false">
      <c r="A9" s="9" t="s">
        <v>153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customFormat="false" ht="15" hidden="false" customHeight="true" outlineLevel="0" collapsed="false">
      <c r="A10" s="56" t="s">
        <v>154</v>
      </c>
      <c r="B10" s="58" t="n">
        <f aca="false">'Monthly P&amp;L'!B18</f>
        <v>975</v>
      </c>
      <c r="C10" s="58" t="n">
        <f aca="false">'Monthly P&amp;L'!C18</f>
        <v>975</v>
      </c>
      <c r="D10" s="58" t="n">
        <f aca="false">'Monthly P&amp;L'!D18</f>
        <v>1350</v>
      </c>
      <c r="E10" s="58" t="n">
        <f aca="false">'Monthly P&amp;L'!E18</f>
        <v>1350</v>
      </c>
      <c r="F10" s="58" t="n">
        <f aca="false">'Monthly P&amp;L'!F18</f>
        <v>1725</v>
      </c>
      <c r="G10" s="58" t="n">
        <f aca="false">'Monthly P&amp;L'!G18</f>
        <v>2700</v>
      </c>
      <c r="H10" s="58" t="n">
        <f aca="false">'Monthly P&amp;L'!H18</f>
        <v>2637.5</v>
      </c>
      <c r="I10" s="58" t="n">
        <f aca="false">'Monthly P&amp;L'!I18</f>
        <v>2637.5</v>
      </c>
      <c r="J10" s="58" t="n">
        <f aca="false">'Monthly P&amp;L'!J18</f>
        <v>3005</v>
      </c>
      <c r="K10" s="58" t="n">
        <f aca="false">'Monthly P&amp;L'!K18</f>
        <v>3372.5</v>
      </c>
      <c r="L10" s="58" t="n">
        <f aca="false">'Monthly P&amp;L'!L18</f>
        <v>3372.5</v>
      </c>
      <c r="M10" s="58" t="n">
        <f aca="false">'Monthly P&amp;L'!M18</f>
        <v>3740</v>
      </c>
      <c r="N10" s="58"/>
      <c r="O10" s="38" t="n">
        <f aca="false">'Monthly P&amp;L'!O18</f>
        <v>4580</v>
      </c>
      <c r="P10" s="38" t="n">
        <f aca="false">'Monthly P&amp;L'!P18</f>
        <v>5052.5</v>
      </c>
      <c r="Q10" s="38" t="n">
        <f aca="false">'Monthly P&amp;L'!Q18</f>
        <v>5525</v>
      </c>
      <c r="R10" s="38" t="n">
        <f aca="false">'Monthly P&amp;L'!R18</f>
        <v>5997.5</v>
      </c>
      <c r="S10" s="38" t="n">
        <f aca="false">'Monthly P&amp;L'!S18</f>
        <v>6470</v>
      </c>
      <c r="T10" s="38" t="n">
        <f aca="false">'Monthly P&amp;L'!T18</f>
        <v>6942.5</v>
      </c>
      <c r="U10" s="38" t="n">
        <f aca="false">'Monthly P&amp;L'!U18</f>
        <v>7415</v>
      </c>
      <c r="V10" s="38" t="n">
        <f aca="false">'Monthly P&amp;L'!V18</f>
        <v>7887.5</v>
      </c>
      <c r="W10" s="38" t="n">
        <f aca="false">'Monthly P&amp;L'!W18</f>
        <v>8360</v>
      </c>
      <c r="X10" s="38" t="n">
        <f aca="false">'Monthly P&amp;L'!X18</f>
        <v>8832.5</v>
      </c>
      <c r="Y10" s="38" t="n">
        <f aca="false">'Monthly P&amp;L'!Y18</f>
        <v>9305</v>
      </c>
      <c r="Z10" s="38" t="n">
        <f aca="false">'Monthly P&amp;L'!Z18</f>
        <v>10250</v>
      </c>
    </row>
    <row r="11" customFormat="false" ht="15" hidden="false" customHeight="true" outlineLevel="0" collapsed="false">
      <c r="A11" s="56" t="s">
        <v>155</v>
      </c>
      <c r="B11" s="58" t="n">
        <f aca="false">'Monthly P&amp;L'!B28-'Monthly P&amp;L'!B27</f>
        <v>5500</v>
      </c>
      <c r="C11" s="58" t="n">
        <f aca="false">'Monthly P&amp;L'!C28-'Monthly P&amp;L'!C27</f>
        <v>5500</v>
      </c>
      <c r="D11" s="58" t="n">
        <f aca="false">'Monthly P&amp;L'!D28-'Monthly P&amp;L'!D27</f>
        <v>5500</v>
      </c>
      <c r="E11" s="58" t="n">
        <f aca="false">'Monthly P&amp;L'!E28-'Monthly P&amp;L'!E27</f>
        <v>6000</v>
      </c>
      <c r="F11" s="58" t="n">
        <f aca="false">'Monthly P&amp;L'!F28-'Monthly P&amp;L'!F27</f>
        <v>6000</v>
      </c>
      <c r="G11" s="58" t="n">
        <f aca="false">'Monthly P&amp;L'!G28-'Monthly P&amp;L'!G27</f>
        <v>6500</v>
      </c>
      <c r="H11" s="58" t="n">
        <f aca="false">'Monthly P&amp;L'!H28-'Monthly P&amp;L'!H27</f>
        <v>8600</v>
      </c>
      <c r="I11" s="58" t="n">
        <f aca="false">'Monthly P&amp;L'!I28-'Monthly P&amp;L'!I27</f>
        <v>8600</v>
      </c>
      <c r="J11" s="58" t="n">
        <f aca="false">'Monthly P&amp;L'!J28-'Monthly P&amp;L'!J27</f>
        <v>9250</v>
      </c>
      <c r="K11" s="58" t="n">
        <f aca="false">'Monthly P&amp;L'!K28-'Monthly P&amp;L'!K27</f>
        <v>9250</v>
      </c>
      <c r="L11" s="58" t="n">
        <f aca="false">'Monthly P&amp;L'!L28-'Monthly P&amp;L'!L27</f>
        <v>9900</v>
      </c>
      <c r="M11" s="58" t="n">
        <f aca="false">'Monthly P&amp;L'!M28-'Monthly P&amp;L'!M27</f>
        <v>9900</v>
      </c>
      <c r="N11" s="58" t="n">
        <f aca="false">SUM(B11:M11)</f>
        <v>90500</v>
      </c>
      <c r="O11" s="38" t="n">
        <f aca="false">'Monthly P&amp;L'!O28-'Monthly P&amp;L'!O27</f>
        <v>12100</v>
      </c>
      <c r="P11" s="38" t="n">
        <f aca="false">'Monthly P&amp;L'!P28-'Monthly P&amp;L'!P27</f>
        <v>12100</v>
      </c>
      <c r="Q11" s="38" t="n">
        <f aca="false">'Monthly P&amp;L'!Q28-'Monthly P&amp;L'!Q27</f>
        <v>12100</v>
      </c>
      <c r="R11" s="38" t="n">
        <f aca="false">'Monthly P&amp;L'!R28-'Monthly P&amp;L'!R27</f>
        <v>12950</v>
      </c>
      <c r="S11" s="38" t="n">
        <f aca="false">'Monthly P&amp;L'!S28-'Monthly P&amp;L'!S27</f>
        <v>12950</v>
      </c>
      <c r="T11" s="38" t="n">
        <f aca="false">'Monthly P&amp;L'!T28-'Monthly P&amp;L'!T27</f>
        <v>12950</v>
      </c>
      <c r="U11" s="38" t="n">
        <f aca="false">'Monthly P&amp;L'!U28-'Monthly P&amp;L'!U27</f>
        <v>12950</v>
      </c>
      <c r="V11" s="38" t="n">
        <f aca="false">'Monthly P&amp;L'!V28-'Monthly P&amp;L'!V27</f>
        <v>13800</v>
      </c>
      <c r="W11" s="38" t="n">
        <f aca="false">'Monthly P&amp;L'!W28-'Monthly P&amp;L'!W27</f>
        <v>13800</v>
      </c>
      <c r="X11" s="38" t="n">
        <f aca="false">'Monthly P&amp;L'!X28-'Monthly P&amp;L'!X27</f>
        <v>13800</v>
      </c>
      <c r="Y11" s="38" t="n">
        <f aca="false">'Monthly P&amp;L'!Y28-'Monthly P&amp;L'!Y27</f>
        <v>13800</v>
      </c>
      <c r="Z11" s="38" t="n">
        <f aca="false">'Monthly P&amp;L'!Z28-'Monthly P&amp;L'!Z27</f>
        <v>13800</v>
      </c>
    </row>
    <row r="12" customFormat="false" ht="15" hidden="false" customHeight="true" outlineLevel="0" collapsed="false">
      <c r="A12" s="56" t="s">
        <v>156</v>
      </c>
      <c r="B12" s="58" t="n">
        <f aca="false">'Monthly P&amp;L'!B37</f>
        <v>0</v>
      </c>
      <c r="C12" s="58" t="n">
        <f aca="false">'Monthly P&amp;L'!C37</f>
        <v>0</v>
      </c>
      <c r="D12" s="58" t="n">
        <f aca="false">'Monthly P&amp;L'!D37</f>
        <v>0</v>
      </c>
      <c r="E12" s="58" t="n">
        <f aca="false">'Monthly P&amp;L'!E37</f>
        <v>0</v>
      </c>
      <c r="F12" s="58" t="n">
        <f aca="false">'Monthly P&amp;L'!F37</f>
        <v>0</v>
      </c>
      <c r="G12" s="58" t="n">
        <f aca="false">'Monthly P&amp;L'!G37</f>
        <v>0</v>
      </c>
      <c r="H12" s="58" t="n">
        <f aca="false">'Monthly P&amp;L'!H37</f>
        <v>0</v>
      </c>
      <c r="I12" s="58" t="n">
        <f aca="false">'Monthly P&amp;L'!I37</f>
        <v>0</v>
      </c>
      <c r="J12" s="58" t="n">
        <f aca="false">'Monthly P&amp;L'!J37</f>
        <v>0</v>
      </c>
      <c r="K12" s="58" t="n">
        <f aca="false">'Monthly P&amp;L'!K37</f>
        <v>0</v>
      </c>
      <c r="L12" s="58" t="n">
        <f aca="false">'Monthly P&amp;L'!L37</f>
        <v>0</v>
      </c>
      <c r="M12" s="58" t="n">
        <f aca="false">'Monthly P&amp;L'!M37</f>
        <v>0</v>
      </c>
      <c r="N12" s="58"/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</row>
    <row r="13" customFormat="false" ht="15" hidden="false" customHeight="true" outlineLevel="0" collapsed="false">
      <c r="A13" s="1" t="s">
        <v>157</v>
      </c>
      <c r="B13" s="59" t="n">
        <v>4000</v>
      </c>
      <c r="C13" s="59" t="n">
        <v>0</v>
      </c>
      <c r="D13" s="59" t="n">
        <v>0</v>
      </c>
      <c r="E13" s="59" t="n">
        <v>0</v>
      </c>
      <c r="F13" s="59" t="n">
        <v>0</v>
      </c>
      <c r="G13" s="59" t="n">
        <v>0</v>
      </c>
      <c r="H13" s="59" t="n">
        <v>100000</v>
      </c>
      <c r="I13" s="59" t="n">
        <v>0</v>
      </c>
      <c r="J13" s="59" t="n">
        <v>0</v>
      </c>
      <c r="K13" s="59" t="n">
        <v>0</v>
      </c>
      <c r="L13" s="59" t="n">
        <v>0</v>
      </c>
      <c r="M13" s="59" t="n">
        <v>0</v>
      </c>
      <c r="N13" s="59" t="n">
        <f aca="false">SUM(B13:M13)</f>
        <v>104000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</row>
    <row r="14" customFormat="false" ht="15" hidden="false" customHeight="true" outlineLevel="0" collapsed="false">
      <c r="A14" s="9" t="s">
        <v>158</v>
      </c>
      <c r="B14" s="61" t="n">
        <f aca="false">B10+B11+B12+B13</f>
        <v>10475</v>
      </c>
      <c r="C14" s="61" t="n">
        <f aca="false">C10+C11+C12+C13</f>
        <v>6475</v>
      </c>
      <c r="D14" s="61" t="n">
        <f aca="false">D10+D11+D12+D13</f>
        <v>6850</v>
      </c>
      <c r="E14" s="61" t="n">
        <f aca="false">E10+E11+E12+E13</f>
        <v>7350</v>
      </c>
      <c r="F14" s="61" t="n">
        <f aca="false">F10+F11+F12+F13</f>
        <v>7725</v>
      </c>
      <c r="G14" s="61" t="n">
        <f aca="false">G10+G11+G12+G13</f>
        <v>9200</v>
      </c>
      <c r="H14" s="61" t="n">
        <f aca="false">H10+H11+H12+H13</f>
        <v>111237.5</v>
      </c>
      <c r="I14" s="61" t="n">
        <f aca="false">I10+I11+I12+I13</f>
        <v>11237.5</v>
      </c>
      <c r="J14" s="61" t="n">
        <f aca="false">J10+J11+J12+J13</f>
        <v>12255</v>
      </c>
      <c r="K14" s="61" t="n">
        <f aca="false">K10+K11+K12+K13</f>
        <v>12622.5</v>
      </c>
      <c r="L14" s="61" t="n">
        <f aca="false">L10+L11+L12+L13</f>
        <v>13272.5</v>
      </c>
      <c r="M14" s="61" t="n">
        <f aca="false">M10+M11+M12+M13</f>
        <v>13640</v>
      </c>
      <c r="N14" s="62" t="n">
        <f aca="false">SUM(B14:M14)</f>
        <v>222340</v>
      </c>
      <c r="O14" s="63" t="n">
        <f aca="false">O10+O11+O12+O13</f>
        <v>16680</v>
      </c>
      <c r="P14" s="63" t="n">
        <f aca="false">P10+P11+P12+P13</f>
        <v>17152.5</v>
      </c>
      <c r="Q14" s="63" t="n">
        <f aca="false">Q10+Q11+Q12+Q13</f>
        <v>17625</v>
      </c>
      <c r="R14" s="63" t="n">
        <f aca="false">R10+R11+R12+R13</f>
        <v>18947.5</v>
      </c>
      <c r="S14" s="63" t="n">
        <f aca="false">S10+S11+S12+S13</f>
        <v>19420</v>
      </c>
      <c r="T14" s="63" t="n">
        <f aca="false">T10+T11+T12+T13</f>
        <v>19892.5</v>
      </c>
      <c r="U14" s="63" t="n">
        <f aca="false">U10+U11+U12+U13</f>
        <v>20365</v>
      </c>
      <c r="V14" s="63" t="n">
        <f aca="false">V10+V11+V12+V13</f>
        <v>21687.5</v>
      </c>
      <c r="W14" s="63" t="n">
        <f aca="false">W10+W11+W12+W13</f>
        <v>22160</v>
      </c>
      <c r="X14" s="63" t="n">
        <f aca="false">X10+X11+X12+X13</f>
        <v>22632.5</v>
      </c>
      <c r="Y14" s="63" t="n">
        <f aca="false">Y10+Y11+Y12+Y13</f>
        <v>23105</v>
      </c>
      <c r="Z14" s="63" t="n">
        <f aca="false">Z10+Z11+Z12+Z13</f>
        <v>24050</v>
      </c>
    </row>
    <row r="15" customFormat="false" ht="15" hidden="false" customHeight="true" outlineLevel="0" collapsed="false">
      <c r="A15" s="56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</row>
    <row r="16" customFormat="false" ht="15" hidden="false" customHeight="true" outlineLevel="0" collapsed="false">
      <c r="A16" s="50" t="s">
        <v>159</v>
      </c>
      <c r="B16" s="64" t="n">
        <f aca="false">B7-B14</f>
        <v>32025</v>
      </c>
      <c r="C16" s="64" t="n">
        <f aca="false">C7-C14</f>
        <v>-3975</v>
      </c>
      <c r="D16" s="64" t="n">
        <f aca="false">D7-D14</f>
        <v>-1850</v>
      </c>
      <c r="E16" s="64" t="n">
        <f aca="false">E7-E14</f>
        <v>-2350</v>
      </c>
      <c r="F16" s="64" t="n">
        <f aca="false">F7-F14</f>
        <v>-225</v>
      </c>
      <c r="G16" s="64" t="n">
        <f aca="false">G7-G14</f>
        <v>4800</v>
      </c>
      <c r="H16" s="64" t="n">
        <f aca="false">H7-H14</f>
        <v>106262.5</v>
      </c>
      <c r="I16" s="64" t="n">
        <f aca="false">I7-I14</f>
        <v>6262.5</v>
      </c>
      <c r="J16" s="64" t="n">
        <f aca="false">J7-J14</f>
        <v>8745</v>
      </c>
      <c r="K16" s="64" t="n">
        <f aca="false">K7-K14</f>
        <v>11877.5</v>
      </c>
      <c r="L16" s="64" t="n">
        <f aca="false">L7-L14</f>
        <v>11227.5</v>
      </c>
      <c r="M16" s="64" t="n">
        <f aca="false">M7-M14</f>
        <v>14360</v>
      </c>
      <c r="N16" s="62" t="n">
        <f aca="false">SUM(B16:M16)</f>
        <v>187160</v>
      </c>
      <c r="O16" s="65" t="n">
        <f aca="false">O7-O14</f>
        <v>19320</v>
      </c>
      <c r="P16" s="65" t="n">
        <f aca="false">P7-P14</f>
        <v>23347.5</v>
      </c>
      <c r="Q16" s="65" t="n">
        <f aca="false">Q7-Q14</f>
        <v>27375</v>
      </c>
      <c r="R16" s="65" t="n">
        <f aca="false">R7-R14</f>
        <v>30552.5</v>
      </c>
      <c r="S16" s="65" t="n">
        <f aca="false">S7-S14</f>
        <v>34580</v>
      </c>
      <c r="T16" s="65" t="n">
        <f aca="false">T7-T14</f>
        <v>38607.5</v>
      </c>
      <c r="U16" s="65" t="n">
        <f aca="false">U7-U14</f>
        <v>42635</v>
      </c>
      <c r="V16" s="65" t="n">
        <f aca="false">V7-V14</f>
        <v>45812.5</v>
      </c>
      <c r="W16" s="65" t="n">
        <f aca="false">W7-W14</f>
        <v>49840</v>
      </c>
      <c r="X16" s="65" t="n">
        <f aca="false">X7-X14</f>
        <v>53867.5</v>
      </c>
      <c r="Y16" s="65" t="n">
        <f aca="false">Y7-Y14</f>
        <v>57895</v>
      </c>
      <c r="Z16" s="65" t="n">
        <f aca="false">Z7-Z14</f>
        <v>65950</v>
      </c>
    </row>
    <row r="17" customFormat="false" ht="15" hidden="false" customHeight="true" outlineLevel="0" collapsed="false">
      <c r="A17" s="50" t="s">
        <v>160</v>
      </c>
      <c r="B17" s="64" t="n">
        <f aca="false">B3+B16</f>
        <v>32025</v>
      </c>
      <c r="C17" s="64" t="n">
        <f aca="false">C3+C16</f>
        <v>28050</v>
      </c>
      <c r="D17" s="64" t="n">
        <f aca="false">D3+D16</f>
        <v>26200</v>
      </c>
      <c r="E17" s="64" t="n">
        <f aca="false">E3+E16</f>
        <v>23850</v>
      </c>
      <c r="F17" s="64" t="n">
        <f aca="false">F3+F16</f>
        <v>23625</v>
      </c>
      <c r="G17" s="64" t="n">
        <f aca="false">G3+G16</f>
        <v>28425</v>
      </c>
      <c r="H17" s="64" t="n">
        <f aca="false">H3+H16</f>
        <v>134687.5</v>
      </c>
      <c r="I17" s="64" t="n">
        <f aca="false">I3+I16</f>
        <v>140950</v>
      </c>
      <c r="J17" s="64" t="n">
        <f aca="false">J3+J16</f>
        <v>149695</v>
      </c>
      <c r="K17" s="64" t="n">
        <f aca="false">K3+K16</f>
        <v>161572.5</v>
      </c>
      <c r="L17" s="64" t="n">
        <f aca="false">L3+L16</f>
        <v>172800</v>
      </c>
      <c r="M17" s="64" t="n">
        <f aca="false">M3+M16</f>
        <v>187160</v>
      </c>
      <c r="N17" s="62"/>
      <c r="O17" s="65" t="n">
        <f aca="false">O3+O16</f>
        <v>206480</v>
      </c>
      <c r="P17" s="65" t="n">
        <f aca="false">P3+P16</f>
        <v>229827.5</v>
      </c>
      <c r="Q17" s="65" t="n">
        <f aca="false">Q3+Q16</f>
        <v>257202.5</v>
      </c>
      <c r="R17" s="65" t="n">
        <f aca="false">R3+R16</f>
        <v>287755</v>
      </c>
      <c r="S17" s="65" t="n">
        <f aca="false">S3+S16</f>
        <v>322335</v>
      </c>
      <c r="T17" s="65" t="n">
        <f aca="false">T3+T16</f>
        <v>360942.5</v>
      </c>
      <c r="U17" s="65" t="n">
        <f aca="false">U3+U16</f>
        <v>403577.5</v>
      </c>
      <c r="V17" s="65" t="n">
        <f aca="false">V3+V16</f>
        <v>449390</v>
      </c>
      <c r="W17" s="65" t="n">
        <f aca="false">W3+W16</f>
        <v>499230</v>
      </c>
      <c r="X17" s="65" t="n">
        <f aca="false">X3+X16</f>
        <v>553097.5</v>
      </c>
      <c r="Y17" s="65" t="n">
        <f aca="false">Y3+Y16</f>
        <v>610992.5</v>
      </c>
      <c r="Z17" s="65" t="n">
        <f aca="false">Z3+Z16</f>
        <v>676942.5</v>
      </c>
    </row>
    <row r="18" customFormat="false" ht="15" hidden="false" customHeight="true" outlineLevel="0" collapsed="false">
      <c r="A18" s="56" t="s">
        <v>161</v>
      </c>
      <c r="B18" s="58" t="str">
        <f aca="false">IF(B16&gt;=0,"∞",B17/(-B16))</f>
        <v>∞</v>
      </c>
      <c r="C18" s="58" t="n">
        <f aca="false">IF(C16&gt;=0,"∞",C17/(-C16))</f>
        <v>7.05660377358491</v>
      </c>
      <c r="D18" s="58" t="n">
        <f aca="false">IF(D16&gt;=0,"∞",D17/(-D16))</f>
        <v>14.1621621621622</v>
      </c>
      <c r="E18" s="58" t="n">
        <f aca="false">IF(E16&gt;=0,"∞",E17/(-E16))</f>
        <v>10.1489361702128</v>
      </c>
      <c r="F18" s="58" t="n">
        <f aca="false">IF(F16&gt;=0,"∞",F17/(-F16))</f>
        <v>105</v>
      </c>
      <c r="G18" s="58" t="str">
        <f aca="false">IF(G16&gt;=0,"∞",G17/(-G16))</f>
        <v>∞</v>
      </c>
      <c r="H18" s="58" t="str">
        <f aca="false">IF(H16&gt;=0,"∞",H17/(-H16))</f>
        <v>∞</v>
      </c>
      <c r="I18" s="58" t="str">
        <f aca="false">IF(I16&gt;=0,"∞",I17/(-I16))</f>
        <v>∞</v>
      </c>
      <c r="J18" s="58" t="str">
        <f aca="false">IF(J16&gt;=0,"∞",J17/(-J16))</f>
        <v>∞</v>
      </c>
      <c r="K18" s="58" t="str">
        <f aca="false">IF(K16&gt;=0,"∞",K17/(-K16))</f>
        <v>∞</v>
      </c>
      <c r="L18" s="58" t="str">
        <f aca="false">IF(L16&gt;=0,"∞",L17/(-L16))</f>
        <v>∞</v>
      </c>
      <c r="M18" s="58" t="str">
        <f aca="false">IF(M16&gt;=0,"∞",M17/(-M16))</f>
        <v>∞</v>
      </c>
      <c r="N18" s="58"/>
    </row>
    <row r="19" customFormat="false" ht="15" hidden="false" customHeight="true" outlineLevel="0" collapsed="false">
      <c r="A19" s="56" t="s">
        <v>162</v>
      </c>
      <c r="B19" s="58" t="str">
        <f aca="false">IF(B16&gt;=0,"YES","NO")</f>
        <v>YES</v>
      </c>
      <c r="C19" s="58" t="str">
        <f aca="false">IF(C16&gt;=0,"YES","NO")</f>
        <v>NO</v>
      </c>
      <c r="D19" s="58" t="str">
        <f aca="false">IF(D16&gt;=0,"YES","NO")</f>
        <v>NO</v>
      </c>
      <c r="E19" s="58" t="str">
        <f aca="false">IF(E16&gt;=0,"YES","NO")</f>
        <v>NO</v>
      </c>
      <c r="F19" s="58" t="str">
        <f aca="false">IF(F16&gt;=0,"YES","NO")</f>
        <v>NO</v>
      </c>
      <c r="G19" s="58" t="str">
        <f aca="false">IF(G16&gt;=0,"YES","NO")</f>
        <v>YES</v>
      </c>
      <c r="H19" s="58" t="str">
        <f aca="false">IF(H16&gt;=0,"YES","NO")</f>
        <v>YES</v>
      </c>
      <c r="I19" s="58" t="str">
        <f aca="false">IF(I16&gt;=0,"YES","NO")</f>
        <v>YES</v>
      </c>
      <c r="J19" s="58" t="str">
        <f aca="false">IF(J16&gt;=0,"YES","NO")</f>
        <v>YES</v>
      </c>
      <c r="K19" s="58" t="str">
        <f aca="false">IF(K16&gt;=0,"YES","NO")</f>
        <v>YES</v>
      </c>
      <c r="L19" s="58" t="str">
        <f aca="false">IF(L16&gt;=0,"YES","NO")</f>
        <v>YES</v>
      </c>
      <c r="M19" s="58" t="str">
        <f aca="false">IF(M16&gt;=0,"YES","NO")</f>
        <v>YES</v>
      </c>
      <c r="N19" s="58"/>
    </row>
    <row r="20" customFormat="false" ht="15" hidden="false" customHeight="true" outlineLevel="0" collapsed="false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 customFormat="false" ht="15" hidden="false" customHeight="true" outlineLevel="0" collapsed="false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2" customFormat="false" ht="15" hidden="false" customHeight="true" outlineLevel="0" collapsed="false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3" customFormat="false" ht="15" hidden="false" customHeight="true" outlineLevel="0" collapsed="false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</row>
    <row r="24" customFormat="false" ht="15" hidden="false" customHeight="true" outlineLevel="0" collapsed="false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5" customFormat="false" ht="15" hidden="false" customHeight="true" outlineLevel="0" collapsed="false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4" activeCellId="0" sqref="A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2"/>
  </cols>
  <sheetData>
    <row r="1" customFormat="false" ht="17.25" hidden="false" customHeight="true" outlineLevel="0" collapsed="false">
      <c r="A1" s="33" t="s">
        <v>163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customFormat="false" ht="15" hidden="false" customHeight="true" outlineLevel="0" collapsed="false">
      <c r="A2" s="1" t="s">
        <v>164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8" t="s">
        <v>9</v>
      </c>
      <c r="K2" s="48" t="s">
        <v>10</v>
      </c>
      <c r="L2" s="48" t="s">
        <v>11</v>
      </c>
      <c r="M2" s="48" t="s">
        <v>12</v>
      </c>
      <c r="O2" s="53" t="s">
        <v>14</v>
      </c>
      <c r="P2" s="53" t="s">
        <v>15</v>
      </c>
      <c r="Q2" s="53" t="s">
        <v>16</v>
      </c>
      <c r="R2" s="53" t="s">
        <v>17</v>
      </c>
      <c r="S2" s="53" t="s">
        <v>18</v>
      </c>
      <c r="T2" s="53" t="s">
        <v>19</v>
      </c>
      <c r="U2" s="53" t="s">
        <v>20</v>
      </c>
      <c r="V2" s="53" t="s">
        <v>21</v>
      </c>
      <c r="W2" s="53" t="s">
        <v>22</v>
      </c>
      <c r="X2" s="53" t="s">
        <v>23</v>
      </c>
      <c r="Y2" s="53" t="s">
        <v>24</v>
      </c>
      <c r="Z2" s="53" t="s">
        <v>25</v>
      </c>
    </row>
    <row r="3" customFormat="false" ht="15" hidden="false" customHeight="true" outlineLevel="0" collapsed="false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customFormat="false" ht="15" hidden="false" customHeight="true" outlineLevel="0" collapsed="false">
      <c r="A4" s="9" t="s">
        <v>165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customFormat="false" ht="15" hidden="false" customHeight="true" outlineLevel="0" collapsed="false">
      <c r="A5" s="9" t="s">
        <v>166</v>
      </c>
      <c r="B5" s="59" t="n">
        <f aca="false">'Cash Flow'!B17</f>
        <v>32025</v>
      </c>
      <c r="C5" s="59" t="n">
        <f aca="false">'Cash Flow'!C17</f>
        <v>28050</v>
      </c>
      <c r="D5" s="59" t="n">
        <f aca="false">'Cash Flow'!D17</f>
        <v>26200</v>
      </c>
      <c r="E5" s="59" t="n">
        <f aca="false">'Cash Flow'!E17</f>
        <v>23850</v>
      </c>
      <c r="F5" s="59" t="n">
        <f aca="false">'Cash Flow'!F17</f>
        <v>23625</v>
      </c>
      <c r="G5" s="59" t="n">
        <f aca="false">'Cash Flow'!G17</f>
        <v>28425</v>
      </c>
      <c r="H5" s="59" t="n">
        <f aca="false">'Cash Flow'!H17</f>
        <v>134687.5</v>
      </c>
      <c r="I5" s="59" t="n">
        <f aca="false">'Cash Flow'!I17</f>
        <v>140950</v>
      </c>
      <c r="J5" s="59" t="n">
        <f aca="false">'Cash Flow'!J17</f>
        <v>149695</v>
      </c>
      <c r="K5" s="59" t="n">
        <f aca="false">'Cash Flow'!K17</f>
        <v>161572.5</v>
      </c>
      <c r="L5" s="59" t="n">
        <f aca="false">'Cash Flow'!L17</f>
        <v>172800</v>
      </c>
      <c r="M5" s="59" t="n">
        <f aca="false">'Cash Flow'!M17</f>
        <v>187160</v>
      </c>
      <c r="O5" s="60" t="n">
        <f aca="false">'Cash Flow'!O17</f>
        <v>206480</v>
      </c>
      <c r="P5" s="60" t="n">
        <f aca="false">'Cash Flow'!P17</f>
        <v>229827.5</v>
      </c>
      <c r="Q5" s="60" t="n">
        <f aca="false">'Cash Flow'!Q17</f>
        <v>257202.5</v>
      </c>
      <c r="R5" s="60" t="n">
        <f aca="false">'Cash Flow'!R17</f>
        <v>287755</v>
      </c>
      <c r="S5" s="60" t="n">
        <f aca="false">'Cash Flow'!S17</f>
        <v>322335</v>
      </c>
      <c r="T5" s="60" t="n">
        <f aca="false">'Cash Flow'!T17</f>
        <v>360942.5</v>
      </c>
      <c r="U5" s="60" t="n">
        <f aca="false">'Cash Flow'!U17</f>
        <v>403577.5</v>
      </c>
      <c r="V5" s="60" t="n">
        <f aca="false">'Cash Flow'!V17</f>
        <v>449390</v>
      </c>
      <c r="W5" s="60" t="n">
        <f aca="false">'Cash Flow'!W17</f>
        <v>499230</v>
      </c>
      <c r="X5" s="60" t="n">
        <f aca="false">'Cash Flow'!X17</f>
        <v>553097.5</v>
      </c>
      <c r="Y5" s="60" t="n">
        <f aca="false">'Cash Flow'!Y17</f>
        <v>610992.5</v>
      </c>
      <c r="Z5" s="60" t="n">
        <f aca="false">'Cash Flow'!Z17</f>
        <v>676942.5</v>
      </c>
    </row>
    <row r="6" customFormat="false" ht="15" hidden="false" customHeight="true" outlineLevel="0" collapsed="false">
      <c r="A6" s="1" t="s">
        <v>167</v>
      </c>
      <c r="B6" s="59" t="n">
        <v>4000</v>
      </c>
      <c r="C6" s="59" t="n">
        <v>4000</v>
      </c>
      <c r="D6" s="59" t="n">
        <v>4000</v>
      </c>
      <c r="E6" s="59" t="n">
        <v>4000</v>
      </c>
      <c r="F6" s="59" t="n">
        <v>4000</v>
      </c>
      <c r="G6" s="59" t="n">
        <v>4000</v>
      </c>
      <c r="H6" s="59" t="n">
        <v>104000</v>
      </c>
      <c r="I6" s="59" t="n">
        <v>104000</v>
      </c>
      <c r="J6" s="59" t="n">
        <v>104000</v>
      </c>
      <c r="K6" s="59" t="n">
        <v>104000</v>
      </c>
      <c r="L6" s="59" t="n">
        <v>104000</v>
      </c>
      <c r="M6" s="59" t="n">
        <v>104000</v>
      </c>
      <c r="O6" s="60" t="n">
        <v>104000</v>
      </c>
      <c r="P6" s="60" t="n">
        <v>104000</v>
      </c>
      <c r="Q6" s="60" t="n">
        <v>104000</v>
      </c>
      <c r="R6" s="60" t="n">
        <v>104000</v>
      </c>
      <c r="S6" s="60" t="n">
        <v>104000</v>
      </c>
      <c r="T6" s="60" t="n">
        <v>104000</v>
      </c>
      <c r="U6" s="60" t="n">
        <v>104000</v>
      </c>
      <c r="V6" s="60" t="n">
        <v>104000</v>
      </c>
      <c r="W6" s="60" t="n">
        <v>104000</v>
      </c>
      <c r="X6" s="60" t="n">
        <v>104000</v>
      </c>
      <c r="Y6" s="60" t="n">
        <v>104000</v>
      </c>
      <c r="Z6" s="60" t="n">
        <v>104000</v>
      </c>
    </row>
    <row r="7" customFormat="false" ht="15" hidden="false" customHeight="true" outlineLevel="0" collapsed="false">
      <c r="A7" s="1" t="s">
        <v>168</v>
      </c>
      <c r="B7" s="59" t="n">
        <v>-67</v>
      </c>
      <c r="C7" s="59" t="n">
        <f aca="false">B7-67</f>
        <v>-134</v>
      </c>
      <c r="D7" s="59" t="n">
        <f aca="false">C7-67</f>
        <v>-201</v>
      </c>
      <c r="E7" s="59" t="n">
        <f aca="false">D7-67</f>
        <v>-268</v>
      </c>
      <c r="F7" s="59" t="n">
        <f aca="false">E7-67</f>
        <v>-335</v>
      </c>
      <c r="G7" s="59" t="n">
        <f aca="false">F7-67</f>
        <v>-402</v>
      </c>
      <c r="H7" s="59" t="n">
        <f aca="false">G7-1733</f>
        <v>-2135</v>
      </c>
      <c r="I7" s="59" t="n">
        <f aca="false">H7-1733</f>
        <v>-3868</v>
      </c>
      <c r="J7" s="59" t="n">
        <f aca="false">I7-1733</f>
        <v>-5601</v>
      </c>
      <c r="K7" s="59" t="n">
        <f aca="false">J7-1733</f>
        <v>-7334</v>
      </c>
      <c r="L7" s="59" t="n">
        <f aca="false">K7-1733</f>
        <v>-9067</v>
      </c>
      <c r="M7" s="59" t="n">
        <f aca="false">L7-1733</f>
        <v>-10800</v>
      </c>
      <c r="O7" s="1" t="n">
        <f aca="false">M7-1733</f>
        <v>-12533</v>
      </c>
      <c r="P7" s="1" t="n">
        <f aca="false">O7-1733</f>
        <v>-14266</v>
      </c>
      <c r="Q7" s="1" t="n">
        <f aca="false">P7-1733</f>
        <v>-15999</v>
      </c>
      <c r="R7" s="1" t="n">
        <f aca="false">Q7-1733</f>
        <v>-17732</v>
      </c>
      <c r="S7" s="1" t="n">
        <f aca="false">R7-1733</f>
        <v>-19465</v>
      </c>
      <c r="T7" s="1" t="n">
        <f aca="false">S7-1733</f>
        <v>-21198</v>
      </c>
      <c r="U7" s="1" t="n">
        <f aca="false">T7-1733</f>
        <v>-22931</v>
      </c>
      <c r="V7" s="1" t="n">
        <f aca="false">U7-1733</f>
        <v>-24664</v>
      </c>
      <c r="W7" s="1" t="n">
        <f aca="false">V7-1733</f>
        <v>-26397</v>
      </c>
      <c r="X7" s="1" t="n">
        <f aca="false">W7-1733</f>
        <v>-28130</v>
      </c>
      <c r="Y7" s="1" t="n">
        <f aca="false">X7-1733</f>
        <v>-29863</v>
      </c>
      <c r="Z7" s="1" t="n">
        <f aca="false">Y7-1733</f>
        <v>-31596</v>
      </c>
    </row>
    <row r="8" customFormat="false" ht="15" hidden="false" customHeight="true" outlineLevel="0" collapsed="false">
      <c r="A8" s="14" t="s">
        <v>169</v>
      </c>
      <c r="B8" s="62" t="n">
        <f aca="false">B6+B7</f>
        <v>3933</v>
      </c>
      <c r="C8" s="62" t="n">
        <f aca="false">C6+C7</f>
        <v>3866</v>
      </c>
      <c r="D8" s="62" t="n">
        <f aca="false">D6+D7</f>
        <v>3799</v>
      </c>
      <c r="E8" s="62" t="n">
        <f aca="false">E6+E7</f>
        <v>3732</v>
      </c>
      <c r="F8" s="62" t="n">
        <f aca="false">F6+F7</f>
        <v>3665</v>
      </c>
      <c r="G8" s="62" t="n">
        <f aca="false">G6+G7</f>
        <v>3598</v>
      </c>
      <c r="H8" s="62" t="n">
        <f aca="false">H6+H7</f>
        <v>101865</v>
      </c>
      <c r="I8" s="62" t="n">
        <f aca="false">I6+I7</f>
        <v>100132</v>
      </c>
      <c r="J8" s="62" t="n">
        <f aca="false">J6+J7</f>
        <v>98399</v>
      </c>
      <c r="K8" s="62" t="n">
        <f aca="false">K6+K7</f>
        <v>96666</v>
      </c>
      <c r="L8" s="62" t="n">
        <f aca="false">L6+L7</f>
        <v>94933</v>
      </c>
      <c r="M8" s="62" t="n">
        <f aca="false">M6+M7</f>
        <v>93200</v>
      </c>
      <c r="O8" s="60" t="n">
        <f aca="false">O6+O7</f>
        <v>91467</v>
      </c>
      <c r="P8" s="60" t="n">
        <f aca="false">P6+P7</f>
        <v>89734</v>
      </c>
      <c r="Q8" s="60" t="n">
        <f aca="false">Q6+Q7</f>
        <v>88001</v>
      </c>
      <c r="R8" s="60" t="n">
        <f aca="false">R6+R7</f>
        <v>86268</v>
      </c>
      <c r="S8" s="60" t="n">
        <f aca="false">S6+S7</f>
        <v>84535</v>
      </c>
      <c r="T8" s="60" t="n">
        <f aca="false">T6+T7</f>
        <v>82802</v>
      </c>
      <c r="U8" s="60" t="n">
        <f aca="false">U6+U7</f>
        <v>81069</v>
      </c>
      <c r="V8" s="60" t="n">
        <f aca="false">V6+V7</f>
        <v>79336</v>
      </c>
      <c r="W8" s="60" t="n">
        <f aca="false">W6+W7</f>
        <v>77603</v>
      </c>
      <c r="X8" s="60" t="n">
        <f aca="false">X6+X7</f>
        <v>75870</v>
      </c>
      <c r="Y8" s="60" t="n">
        <f aca="false">Y6+Y7</f>
        <v>74137</v>
      </c>
      <c r="Z8" s="60" t="n">
        <f aca="false">Z6+Z7</f>
        <v>72404</v>
      </c>
    </row>
    <row r="9" customFormat="false" ht="15" hidden="false" customHeight="true" outlineLevel="0" collapsed="false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0" customFormat="false" ht="15" hidden="false" customHeight="true" outlineLevel="0" collapsed="false">
      <c r="A10" s="9" t="s">
        <v>170</v>
      </c>
      <c r="B10" s="59" t="n">
        <f aca="false">B5+B8</f>
        <v>35958</v>
      </c>
      <c r="C10" s="59" t="n">
        <f aca="false">C5+C8</f>
        <v>31916</v>
      </c>
      <c r="D10" s="59" t="n">
        <f aca="false">D5+D8</f>
        <v>29999</v>
      </c>
      <c r="E10" s="59" t="n">
        <f aca="false">E5+E8</f>
        <v>27582</v>
      </c>
      <c r="F10" s="59" t="n">
        <f aca="false">F5+F8</f>
        <v>27290</v>
      </c>
      <c r="G10" s="59" t="n">
        <f aca="false">G5+G8</f>
        <v>32023</v>
      </c>
      <c r="H10" s="59" t="n">
        <f aca="false">H5+H8</f>
        <v>236552.5</v>
      </c>
      <c r="I10" s="59" t="n">
        <f aca="false">I5+I8</f>
        <v>241082</v>
      </c>
      <c r="J10" s="59" t="n">
        <f aca="false">J5+J8</f>
        <v>248094</v>
      </c>
      <c r="K10" s="59" t="n">
        <f aca="false">K5+K8</f>
        <v>258238.5</v>
      </c>
      <c r="L10" s="59" t="n">
        <f aca="false">L5+L8</f>
        <v>267733</v>
      </c>
      <c r="M10" s="59" t="n">
        <f aca="false">M5+M8</f>
        <v>280360</v>
      </c>
      <c r="O10" s="60" t="n">
        <f aca="false">O5+O8</f>
        <v>297947</v>
      </c>
      <c r="P10" s="60" t="n">
        <f aca="false">P5+P8</f>
        <v>319561.5</v>
      </c>
      <c r="Q10" s="60" t="n">
        <f aca="false">Q5+Q8</f>
        <v>345203.5</v>
      </c>
      <c r="R10" s="60" t="n">
        <f aca="false">R5+R8</f>
        <v>374023</v>
      </c>
      <c r="S10" s="60" t="n">
        <f aca="false">S5+S8</f>
        <v>406870</v>
      </c>
      <c r="T10" s="60" t="n">
        <f aca="false">T5+T8</f>
        <v>443744.5</v>
      </c>
      <c r="U10" s="60" t="n">
        <f aca="false">U5+U8</f>
        <v>484646.5</v>
      </c>
      <c r="V10" s="60" t="n">
        <f aca="false">V5+V8</f>
        <v>528726</v>
      </c>
      <c r="W10" s="60" t="n">
        <f aca="false">W5+W8</f>
        <v>576833</v>
      </c>
      <c r="X10" s="60" t="n">
        <f aca="false">X5+X8</f>
        <v>628967.5</v>
      </c>
      <c r="Y10" s="60" t="n">
        <f aca="false">Y5+Y8</f>
        <v>685129.5</v>
      </c>
      <c r="Z10" s="60" t="n">
        <f aca="false">Z5+Z8</f>
        <v>749346.5</v>
      </c>
    </row>
    <row r="11" customFormat="false" ht="15" hidden="false" customHeight="true" outlineLevel="0" collapsed="false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customFormat="false" ht="15" hidden="false" customHeight="true" outlineLevel="0" collapsed="false">
      <c r="A12" s="14" t="s">
        <v>171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 t="s">
        <v>172</v>
      </c>
      <c r="B13" s="59" t="n">
        <v>0</v>
      </c>
      <c r="C13" s="59" t="n">
        <v>0</v>
      </c>
      <c r="D13" s="59" t="n">
        <v>0</v>
      </c>
      <c r="E13" s="59" t="n">
        <v>0</v>
      </c>
      <c r="F13" s="59" t="n">
        <v>0</v>
      </c>
      <c r="G13" s="59" t="n">
        <v>0</v>
      </c>
      <c r="H13" s="59" t="n">
        <v>0</v>
      </c>
      <c r="I13" s="59" t="n">
        <v>0</v>
      </c>
      <c r="J13" s="59" t="n">
        <v>0</v>
      </c>
      <c r="K13" s="59" t="n">
        <v>0</v>
      </c>
      <c r="L13" s="59" t="n">
        <v>0</v>
      </c>
      <c r="M13" s="59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</row>
    <row r="14" customFormat="false" ht="15" hidden="false" customHeight="true" outlineLevel="0" collapsed="false">
      <c r="A14" s="14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customFormat="false" ht="15" hidden="false" customHeight="true" outlineLevel="0" collapsed="false">
      <c r="A15" s="1" t="s">
        <v>173</v>
      </c>
      <c r="B15" s="59" t="n">
        <v>40000</v>
      </c>
      <c r="C15" s="59" t="n">
        <v>40000</v>
      </c>
      <c r="D15" s="59" t="n">
        <v>40000</v>
      </c>
      <c r="E15" s="59" t="n">
        <v>40000</v>
      </c>
      <c r="F15" s="59" t="n">
        <v>40000</v>
      </c>
      <c r="G15" s="59" t="n">
        <v>40000</v>
      </c>
      <c r="H15" s="59" t="n">
        <v>240000</v>
      </c>
      <c r="I15" s="59" t="n">
        <v>240000</v>
      </c>
      <c r="J15" s="59" t="n">
        <v>240000</v>
      </c>
      <c r="K15" s="59" t="n">
        <v>240000</v>
      </c>
      <c r="L15" s="59" t="n">
        <v>240000</v>
      </c>
      <c r="M15" s="59" t="n">
        <v>240000</v>
      </c>
      <c r="O15" s="1" t="n">
        <v>240000</v>
      </c>
      <c r="P15" s="1" t="n">
        <v>240000</v>
      </c>
      <c r="Q15" s="1" t="n">
        <v>240000</v>
      </c>
      <c r="R15" s="1" t="n">
        <v>240000</v>
      </c>
      <c r="S15" s="1" t="n">
        <v>240000</v>
      </c>
      <c r="T15" s="1" t="n">
        <v>240000</v>
      </c>
      <c r="U15" s="1" t="n">
        <v>240000</v>
      </c>
      <c r="V15" s="1" t="n">
        <v>240000</v>
      </c>
      <c r="W15" s="1" t="n">
        <v>240000</v>
      </c>
      <c r="X15" s="1" t="n">
        <v>240000</v>
      </c>
      <c r="Y15" s="1" t="n">
        <v>240000</v>
      </c>
      <c r="Z15" s="1" t="n">
        <v>240000</v>
      </c>
    </row>
    <row r="16" customFormat="false" ht="15" hidden="false" customHeight="true" outlineLevel="0" collapsed="false">
      <c r="A16" s="66" t="s">
        <v>174</v>
      </c>
      <c r="B16" s="62" t="n">
        <f aca="false">'Monthly P&amp;L'!B39</f>
        <v>-4042</v>
      </c>
      <c r="C16" s="62" t="n">
        <f aca="false">B16+'Monthly P&amp;L'!C39</f>
        <v>-8084</v>
      </c>
      <c r="D16" s="62" t="n">
        <f aca="false">C16+'Monthly P&amp;L'!D39</f>
        <v>-10001</v>
      </c>
      <c r="E16" s="62" t="n">
        <f aca="false">D16+'Monthly P&amp;L'!E39</f>
        <v>-12418</v>
      </c>
      <c r="F16" s="62" t="n">
        <f aca="false">E16+'Monthly P&amp;L'!F39</f>
        <v>-12710</v>
      </c>
      <c r="G16" s="62" t="n">
        <f aca="false">F16+'Monthly P&amp;L'!G39</f>
        <v>-7977</v>
      </c>
      <c r="H16" s="62" t="n">
        <f aca="false">G16+'Monthly P&amp;L'!H39</f>
        <v>-3447.5</v>
      </c>
      <c r="I16" s="62" t="n">
        <f aca="false">H16+'Monthly P&amp;L'!I39</f>
        <v>1082</v>
      </c>
      <c r="J16" s="62" t="n">
        <f aca="false">I16+'Monthly P&amp;L'!J39</f>
        <v>8094</v>
      </c>
      <c r="K16" s="62" t="n">
        <f aca="false">J16+'Monthly P&amp;L'!K39</f>
        <v>18238.5</v>
      </c>
      <c r="L16" s="62" t="n">
        <f aca="false">K16+'Monthly P&amp;L'!L39</f>
        <v>27733</v>
      </c>
      <c r="M16" s="62" t="n">
        <f aca="false">L16+'Monthly P&amp;L'!M39</f>
        <v>40360</v>
      </c>
      <c r="O16" s="67" t="n">
        <f aca="false">M16+'Monthly P&amp;L'!O39</f>
        <v>57947</v>
      </c>
      <c r="P16" s="67" t="n">
        <f aca="false">O16+'Monthly P&amp;L'!P39</f>
        <v>79561.5</v>
      </c>
      <c r="Q16" s="67" t="n">
        <f aca="false">P16+'Monthly P&amp;L'!Q39</f>
        <v>105203.5</v>
      </c>
      <c r="R16" s="67" t="n">
        <f aca="false">Q16+'Monthly P&amp;L'!R39</f>
        <v>134023</v>
      </c>
      <c r="S16" s="67" t="n">
        <f aca="false">R16+'Monthly P&amp;L'!S39</f>
        <v>166870</v>
      </c>
      <c r="T16" s="67" t="n">
        <f aca="false">S16+'Monthly P&amp;L'!T39</f>
        <v>203744.5</v>
      </c>
      <c r="U16" s="67" t="n">
        <f aca="false">T16+'Monthly P&amp;L'!U39</f>
        <v>244646.5</v>
      </c>
      <c r="V16" s="67" t="n">
        <f aca="false">U16+'Monthly P&amp;L'!V39</f>
        <v>288726</v>
      </c>
      <c r="W16" s="67" t="n">
        <f aca="false">V16+'Monthly P&amp;L'!W39</f>
        <v>336833</v>
      </c>
      <c r="X16" s="67" t="n">
        <f aca="false">W16+'Monthly P&amp;L'!X39</f>
        <v>388967.5</v>
      </c>
      <c r="Y16" s="67" t="n">
        <f aca="false">X16+'Monthly P&amp;L'!Y39</f>
        <v>445129.5</v>
      </c>
      <c r="Z16" s="67" t="n">
        <f aca="false">Y16+'Monthly P&amp;L'!Z39</f>
        <v>509346.5</v>
      </c>
    </row>
    <row r="17" customFormat="false" ht="15" hidden="false" customHeight="true" outlineLevel="0" collapsed="false">
      <c r="A17" s="1" t="s">
        <v>175</v>
      </c>
      <c r="B17" s="59" t="n">
        <f aca="false">B15+B16</f>
        <v>35958</v>
      </c>
      <c r="C17" s="59" t="n">
        <f aca="false">C15+C16</f>
        <v>31916</v>
      </c>
      <c r="D17" s="59" t="n">
        <f aca="false">D15+D16</f>
        <v>29999</v>
      </c>
      <c r="E17" s="59" t="n">
        <f aca="false">E15+E16</f>
        <v>27582</v>
      </c>
      <c r="F17" s="59" t="n">
        <f aca="false">F15+F16</f>
        <v>27290</v>
      </c>
      <c r="G17" s="59" t="n">
        <f aca="false">G15+G16</f>
        <v>32023</v>
      </c>
      <c r="H17" s="59" t="n">
        <f aca="false">H15+H16</f>
        <v>236552.5</v>
      </c>
      <c r="I17" s="59" t="n">
        <f aca="false">I15+I16</f>
        <v>241082</v>
      </c>
      <c r="J17" s="59" t="n">
        <f aca="false">J15+J16</f>
        <v>248094</v>
      </c>
      <c r="K17" s="59" t="n">
        <f aca="false">K15+K16</f>
        <v>258238.5</v>
      </c>
      <c r="L17" s="59" t="n">
        <f aca="false">L15+L16</f>
        <v>267733</v>
      </c>
      <c r="M17" s="59" t="n">
        <f aca="false">M15+M16</f>
        <v>280360</v>
      </c>
      <c r="O17" s="60" t="n">
        <f aca="false">O15+O16</f>
        <v>297947</v>
      </c>
      <c r="P17" s="60" t="n">
        <f aca="false">P15+P16</f>
        <v>319561.5</v>
      </c>
      <c r="Q17" s="60" t="n">
        <f aca="false">Q15+Q16</f>
        <v>345203.5</v>
      </c>
      <c r="R17" s="60" t="n">
        <f aca="false">R15+R16</f>
        <v>374023</v>
      </c>
      <c r="S17" s="60" t="n">
        <f aca="false">S15+S16</f>
        <v>406870</v>
      </c>
      <c r="T17" s="60" t="n">
        <f aca="false">T15+T16</f>
        <v>443744.5</v>
      </c>
      <c r="U17" s="60" t="n">
        <f aca="false">U15+U16</f>
        <v>484646.5</v>
      </c>
      <c r="V17" s="60" t="n">
        <f aca="false">V15+V16</f>
        <v>528726</v>
      </c>
      <c r="W17" s="60" t="n">
        <f aca="false">W15+W16</f>
        <v>576833</v>
      </c>
      <c r="X17" s="60" t="n">
        <f aca="false">X15+X16</f>
        <v>628967.5</v>
      </c>
      <c r="Y17" s="60" t="n">
        <f aca="false">Y15+Y16</f>
        <v>685129.5</v>
      </c>
      <c r="Z17" s="60" t="n">
        <f aca="false">Z15+Z16</f>
        <v>749346.5</v>
      </c>
    </row>
    <row r="18" customFormat="false" ht="15" hidden="false" customHeight="true" outlineLevel="0" collapsed="false">
      <c r="A18" s="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customFormat="false" ht="15" hidden="false" customHeight="true" outlineLevel="0" collapsed="false">
      <c r="A19" s="9" t="s">
        <v>176</v>
      </c>
      <c r="B19" s="59" t="n">
        <f aca="false">B13+B17</f>
        <v>35958</v>
      </c>
      <c r="C19" s="59" t="n">
        <f aca="false">C13+C17</f>
        <v>31916</v>
      </c>
      <c r="D19" s="59" t="n">
        <f aca="false">D13+D17</f>
        <v>29999</v>
      </c>
      <c r="E19" s="59" t="n">
        <f aca="false">E13+E17</f>
        <v>27582</v>
      </c>
      <c r="F19" s="59" t="n">
        <f aca="false">F13+F17</f>
        <v>27290</v>
      </c>
      <c r="G19" s="59" t="n">
        <f aca="false">G13+G17</f>
        <v>32023</v>
      </c>
      <c r="H19" s="59" t="n">
        <f aca="false">H13+H17</f>
        <v>236552.5</v>
      </c>
      <c r="I19" s="59" t="n">
        <f aca="false">I13+I17</f>
        <v>241082</v>
      </c>
      <c r="J19" s="59" t="n">
        <f aca="false">J13+J17</f>
        <v>248094</v>
      </c>
      <c r="K19" s="59" t="n">
        <f aca="false">K13+K17</f>
        <v>258238.5</v>
      </c>
      <c r="L19" s="59" t="n">
        <f aca="false">L13+L17</f>
        <v>267733</v>
      </c>
      <c r="M19" s="59" t="n">
        <f aca="false">M13+M17</f>
        <v>280360</v>
      </c>
      <c r="O19" s="60" t="n">
        <f aca="false">O13+O17</f>
        <v>297947</v>
      </c>
      <c r="P19" s="60" t="n">
        <f aca="false">P13+P17</f>
        <v>319561.5</v>
      </c>
      <c r="Q19" s="60" t="n">
        <f aca="false">Q13+Q17</f>
        <v>345203.5</v>
      </c>
      <c r="R19" s="60" t="n">
        <f aca="false">R13+R17</f>
        <v>374023</v>
      </c>
      <c r="S19" s="60" t="n">
        <f aca="false">S13+S17</f>
        <v>406870</v>
      </c>
      <c r="T19" s="60" t="n">
        <f aca="false">T13+T17</f>
        <v>443744.5</v>
      </c>
      <c r="U19" s="60" t="n">
        <f aca="false">U13+U17</f>
        <v>484646.5</v>
      </c>
      <c r="V19" s="60" t="n">
        <f aca="false">V13+V17</f>
        <v>528726</v>
      </c>
      <c r="W19" s="60" t="n">
        <f aca="false">W13+W17</f>
        <v>576833</v>
      </c>
      <c r="X19" s="60" t="n">
        <f aca="false">X13+X17</f>
        <v>628967.5</v>
      </c>
      <c r="Y19" s="60" t="n">
        <f aca="false">Y13+Y17</f>
        <v>685129.5</v>
      </c>
      <c r="Z19" s="60" t="n">
        <f aca="false">Z13+Z17</f>
        <v>749346.5</v>
      </c>
    </row>
    <row r="20" customFormat="false" ht="15" hidden="false" customHeight="true" outlineLevel="0" collapsed="false"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customFormat="false" ht="15" hidden="false" customHeight="true" outlineLevel="0" collapsed="false">
      <c r="A21" s="1" t="s">
        <v>177</v>
      </c>
      <c r="B21" s="59" t="n">
        <f aca="false">B10-B19</f>
        <v>0</v>
      </c>
      <c r="C21" s="59" t="n">
        <f aca="false">C10-C19</f>
        <v>0</v>
      </c>
      <c r="D21" s="59" t="n">
        <f aca="false">D10-D19</f>
        <v>0</v>
      </c>
      <c r="E21" s="59" t="n">
        <f aca="false">E10-E19</f>
        <v>0</v>
      </c>
      <c r="F21" s="59" t="n">
        <f aca="false">F10-F19</f>
        <v>0</v>
      </c>
      <c r="G21" s="59" t="n">
        <f aca="false">G10-G19</f>
        <v>0</v>
      </c>
      <c r="H21" s="59" t="n">
        <f aca="false">H10-H19</f>
        <v>0</v>
      </c>
      <c r="I21" s="59" t="n">
        <f aca="false">I10-I19</f>
        <v>0</v>
      </c>
      <c r="J21" s="59" t="n">
        <f aca="false">J10-J19</f>
        <v>0</v>
      </c>
      <c r="K21" s="59" t="n">
        <f aca="false">K10-K19</f>
        <v>0</v>
      </c>
      <c r="L21" s="59" t="n">
        <f aca="false">L10-L19</f>
        <v>0</v>
      </c>
      <c r="M21" s="59" t="n">
        <f aca="false">M10-M19</f>
        <v>0</v>
      </c>
      <c r="O21" s="60" t="n">
        <f aca="false">O10-O19</f>
        <v>0</v>
      </c>
      <c r="P21" s="60" t="n">
        <f aca="false">P10-P19</f>
        <v>0</v>
      </c>
      <c r="Q21" s="60" t="n">
        <f aca="false">Q10-Q19</f>
        <v>0</v>
      </c>
      <c r="R21" s="60" t="n">
        <f aca="false">R10-R19</f>
        <v>0</v>
      </c>
      <c r="S21" s="60" t="n">
        <f aca="false">S10-S19</f>
        <v>0</v>
      </c>
      <c r="T21" s="60" t="n">
        <f aca="false">T10-T19</f>
        <v>0</v>
      </c>
      <c r="U21" s="60" t="n">
        <f aca="false">U10-U19</f>
        <v>0</v>
      </c>
      <c r="V21" s="60" t="n">
        <f aca="false">V10-V19</f>
        <v>0</v>
      </c>
      <c r="W21" s="60" t="n">
        <f aca="false">W10-W19</f>
        <v>0</v>
      </c>
      <c r="X21" s="60" t="n">
        <f aca="false">X10-X19</f>
        <v>0</v>
      </c>
      <c r="Y21" s="60" t="n">
        <f aca="false">Y10-Y19</f>
        <v>0</v>
      </c>
      <c r="Z21" s="60" t="n">
        <f aca="false">Z10-Z19</f>
        <v>0</v>
      </c>
    </row>
    <row r="22" customFormat="false" ht="15" hidden="false" customHeight="true" outlineLevel="0" collapsed="false">
      <c r="A22" s="66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customFormat="false" ht="15" hidden="false" customHeight="true" outlineLevel="0" collapsed="false">
      <c r="A23" s="14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</row>
    <row r="25" customFormat="false" ht="15" hidden="false" customHeight="true" outlineLevel="0" collapsed="false">
      <c r="A25" s="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customFormat="false" ht="15" hidden="false" customHeight="true" outlineLevel="0" collapsed="false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4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</row>
    <row r="28" customFormat="false" ht="15" hidden="false" customHeight="true" outlineLevel="0" collapsed="false">
      <c r="A28" s="66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customFormat="false" ht="15" hidden="false" customHeight="true" outlineLevel="0" collapsed="false">
      <c r="A29" s="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customFormat="false" ht="15" hidden="false" customHeight="true" outlineLevel="0" collapsed="false">
      <c r="A30" s="66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customFormat="false" ht="15" hidden="false" customHeight="true" outlineLevel="0" collapsed="false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customFormat="false" ht="15" hidden="false" customHeight="true" outlineLevel="0" collapsed="false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customFormat="false" ht="15" hidden="false" customHeight="true" outlineLevel="0" collapsed="false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</row>
    <row r="34" customFormat="false" ht="15" hidden="false" customHeight="true" outlineLevel="0" collapsed="false">
      <c r="A34" s="14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</row>
    <row r="35" customFormat="false" ht="15" hidden="false" customHeight="true" outlineLevel="0" collapsed="false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</row>
    <row r="36" customFormat="false" ht="15" hidden="false" customHeight="true" outlineLevel="0" collapsed="false">
      <c r="A36" s="14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</row>
    <row r="37" customFormat="false" ht="15" hidden="false" customHeight="true" outlineLevel="0" collapsed="false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</row>
    <row r="38" customFormat="false" ht="15" hidden="false" customHeight="true" outlineLevel="0" collapsed="false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</row>
    <row r="39" customFormat="false" ht="15" hidden="false" customHeight="true" outlineLevel="0" collapsed="false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47" t="s">
        <v>178</v>
      </c>
    </row>
    <row r="3" customFormat="false" ht="15" hidden="false" customHeight="true" outlineLevel="0" collapsed="false">
      <c r="A3" s="69" t="s">
        <v>179</v>
      </c>
      <c r="B3" s="70" t="s">
        <v>180</v>
      </c>
      <c r="C3" s="70" t="s">
        <v>181</v>
      </c>
    </row>
    <row r="5" customFormat="false" ht="15" hidden="false" customHeight="true" outlineLevel="0" collapsed="false">
      <c r="A5" s="71" t="s">
        <v>182</v>
      </c>
      <c r="B5" s="38" t="n">
        <v>6000</v>
      </c>
      <c r="C5" s="39" t="n">
        <v>0.15</v>
      </c>
    </row>
    <row r="6" customFormat="false" ht="15" hidden="false" customHeight="true" outlineLevel="0" collapsed="false">
      <c r="A6" s="71" t="s">
        <v>183</v>
      </c>
      <c r="B6" s="38" t="n">
        <v>18000</v>
      </c>
      <c r="C6" s="39" t="n">
        <v>0.45</v>
      </c>
    </row>
    <row r="7" customFormat="false" ht="15" hidden="false" customHeight="true" outlineLevel="0" collapsed="false">
      <c r="A7" s="71" t="s">
        <v>184</v>
      </c>
      <c r="B7" s="38" t="n">
        <v>9000</v>
      </c>
      <c r="C7" s="44" t="n">
        <v>0.225</v>
      </c>
    </row>
    <row r="8" customFormat="false" ht="15" hidden="false" customHeight="true" outlineLevel="0" collapsed="false">
      <c r="A8" s="71" t="s">
        <v>37</v>
      </c>
      <c r="B8" s="38" t="n">
        <v>7000</v>
      </c>
      <c r="C8" s="44" t="n">
        <v>0.175</v>
      </c>
    </row>
    <row r="9" customFormat="false" ht="15" hidden="false" customHeight="true" outlineLevel="0" collapsed="false">
      <c r="A9" s="66" t="s">
        <v>185</v>
      </c>
      <c r="B9" s="72" t="n">
        <f aca="false">SUM(B5:B8)</f>
        <v>40000</v>
      </c>
      <c r="C9" s="73" t="n">
        <v>1</v>
      </c>
    </row>
    <row r="12" customFormat="false" ht="15" hidden="false" customHeight="true" outlineLevel="0" collapsed="false">
      <c r="A12" s="69" t="s">
        <v>186</v>
      </c>
      <c r="B12" s="70" t="s">
        <v>187</v>
      </c>
      <c r="C12" s="70" t="s">
        <v>188</v>
      </c>
    </row>
    <row r="14" customFormat="false" ht="15" hidden="false" customHeight="true" outlineLevel="0" collapsed="false">
      <c r="A14" s="71" t="s">
        <v>189</v>
      </c>
      <c r="B14" s="38" t="n">
        <v>100000</v>
      </c>
      <c r="C14" s="39" t="n">
        <v>0.5</v>
      </c>
    </row>
    <row r="15" customFormat="false" ht="15" hidden="false" customHeight="true" outlineLevel="0" collapsed="false">
      <c r="A15" s="71" t="s">
        <v>190</v>
      </c>
      <c r="B15" s="38" t="n">
        <v>50000</v>
      </c>
      <c r="C15" s="39" t="n">
        <v>0.25</v>
      </c>
    </row>
    <row r="16" customFormat="false" ht="15" hidden="false" customHeight="true" outlineLevel="0" collapsed="false">
      <c r="A16" s="71" t="s">
        <v>191</v>
      </c>
      <c r="B16" s="38" t="n">
        <v>30000</v>
      </c>
      <c r="C16" s="39" t="n">
        <v>0.15</v>
      </c>
    </row>
    <row r="17" customFormat="false" ht="15" hidden="false" customHeight="true" outlineLevel="0" collapsed="false">
      <c r="A17" s="71" t="s">
        <v>192</v>
      </c>
      <c r="B17" s="38" t="n">
        <v>15000</v>
      </c>
      <c r="C17" s="44" t="n">
        <v>0.075</v>
      </c>
    </row>
    <row r="18" customFormat="false" ht="15" hidden="false" customHeight="true" outlineLevel="0" collapsed="false">
      <c r="A18" s="71" t="s">
        <v>193</v>
      </c>
      <c r="B18" s="38" t="n">
        <v>5000</v>
      </c>
      <c r="C18" s="44" t="n">
        <v>0.025</v>
      </c>
    </row>
    <row r="19" customFormat="false" ht="15" hidden="false" customHeight="true" outlineLevel="0" collapsed="false">
      <c r="A19" s="66" t="s">
        <v>185</v>
      </c>
      <c r="B19" s="72" t="n">
        <f aca="false">SUM(B14:B18)</f>
        <v>200000</v>
      </c>
      <c r="C19" s="73" t="n">
        <v>1</v>
      </c>
    </row>
    <row r="22" customFormat="false" ht="15" hidden="false" customHeight="true" outlineLevel="0" collapsed="false">
      <c r="A22" s="70"/>
      <c r="B22" s="70"/>
      <c r="C22" s="70"/>
    </row>
    <row r="24" customFormat="false" ht="15" hidden="false" customHeight="true" outlineLevel="0" collapsed="false">
      <c r="A24" s="71"/>
      <c r="B24" s="38"/>
      <c r="C24" s="39"/>
    </row>
    <row r="25" customFormat="false" ht="15" hidden="false" customHeight="true" outlineLevel="0" collapsed="false">
      <c r="A25" s="71"/>
      <c r="B25" s="38"/>
      <c r="C25" s="39"/>
    </row>
    <row r="26" customFormat="false" ht="15" hidden="false" customHeight="true" outlineLevel="0" collapsed="false">
      <c r="A26" s="71"/>
      <c r="B26" s="38"/>
      <c r="C26" s="39"/>
    </row>
    <row r="27" customFormat="false" ht="15" hidden="false" customHeight="true" outlineLevel="0" collapsed="false">
      <c r="A27" s="71"/>
      <c r="B27" s="38"/>
      <c r="C27" s="39"/>
    </row>
    <row r="28" customFormat="false" ht="15" hidden="false" customHeight="true" outlineLevel="0" collapsed="false">
      <c r="A28" s="71"/>
      <c r="B28" s="38"/>
      <c r="C28" s="44"/>
    </row>
    <row r="29" customFormat="false" ht="15" hidden="false" customHeight="true" outlineLevel="0" collapsed="false">
      <c r="A29" s="74"/>
      <c r="B29" s="75"/>
      <c r="C29" s="73"/>
    </row>
    <row r="32" customFormat="false" ht="15" hidden="false" customHeight="true" outlineLevel="0" collapsed="false">
      <c r="A32" s="54"/>
      <c r="B32" s="70"/>
      <c r="C32" s="70"/>
      <c r="D32" s="70"/>
    </row>
    <row r="34" customFormat="false" ht="15" hidden="false" customHeight="true" outlineLevel="0" collapsed="false">
      <c r="A34" s="71"/>
      <c r="B34" s="38"/>
      <c r="C34" s="39"/>
      <c r="D34" s="38"/>
    </row>
    <row r="35" customFormat="false" ht="15" hidden="false" customHeight="true" outlineLevel="0" collapsed="false">
      <c r="A35" s="71"/>
      <c r="B35" s="38"/>
      <c r="C35" s="39"/>
      <c r="D35" s="38"/>
    </row>
    <row r="36" customFormat="false" ht="15" hidden="false" customHeight="true" outlineLevel="0" collapsed="false">
      <c r="A36" s="71"/>
      <c r="B36" s="38"/>
      <c r="C36" s="39"/>
      <c r="D36" s="38"/>
    </row>
    <row r="38" customFormat="false" ht="15" hidden="false" customHeight="true" outlineLevel="0" collapsed="false">
      <c r="A38" s="66"/>
      <c r="B38" s="72"/>
      <c r="C38" s="73"/>
      <c r="D38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2026-02-01T21:38:57Z</dcterms:created>
  <dc:creator>openpyxl</dc:creator>
  <dc:description/>
  <dc:language>en-US</dc:language>
  <cp:lastModifiedBy>hp</cp:lastModifiedBy>
  <dcterms:modified xsi:type="dcterms:W3CDTF">2026-02-24T22:36:24Z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