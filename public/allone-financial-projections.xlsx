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6380" windowHeight="8196" tabRatio="500" firstSheet="3" activeTab="7"/>
  </bookViews>
  <sheets>
    <sheet name="Monthly P&amp;L" sheetId="1" r:id="rId1"/>
    <sheet name="Client Growth" sheetId="2" r:id="rId2"/>
    <sheet name="Team &amp; Costs" sheetId="3" r:id="rId3"/>
    <sheet name="Unit Economics" sheetId="4" r:id="rId4"/>
    <sheet name="Cash Flow" sheetId="5" r:id="rId5"/>
    <sheet name="Use of Funds" sheetId="6" r:id="rId6"/>
    <sheet name="Investment Plan" sheetId="7" r:id="rId7"/>
    <sheet name="3-Year Scenarios" sheetId="8" r:id="rId8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8" l="1"/>
  <c r="D16" i="8" s="1"/>
  <c r="D17" i="8" s="1"/>
  <c r="D18" i="8" s="1"/>
  <c r="C15" i="8"/>
  <c r="C16" i="8" s="1"/>
  <c r="C17" i="8" s="1"/>
  <c r="C18" i="8" s="1"/>
  <c r="B15" i="8"/>
  <c r="B16" i="8" s="1"/>
  <c r="B17" i="8" s="1"/>
  <c r="B18" i="8" s="1"/>
  <c r="B10" i="8"/>
  <c r="C10" i="8" s="1"/>
  <c r="D10" i="8" s="1"/>
  <c r="D6" i="8"/>
  <c r="D7" i="8" s="1"/>
  <c r="D8" i="8" s="1"/>
  <c r="B5" i="8"/>
  <c r="B4" i="8"/>
  <c r="B49" i="6"/>
  <c r="C49" i="6" s="1"/>
  <c r="B43" i="6"/>
  <c r="C43" i="6" s="1"/>
  <c r="C37" i="6"/>
  <c r="B37" i="6"/>
  <c r="B32" i="6"/>
  <c r="C32" i="6" s="1"/>
  <c r="B18" i="6"/>
  <c r="B20" i="6" s="1"/>
  <c r="C13" i="6"/>
  <c r="B13" i="6"/>
  <c r="B7" i="6"/>
  <c r="C7" i="6" s="1"/>
  <c r="B26" i="4"/>
  <c r="B24" i="4"/>
  <c r="B23" i="4"/>
  <c r="B17" i="4"/>
  <c r="B16" i="4"/>
  <c r="B9" i="4"/>
  <c r="B7" i="4"/>
  <c r="B4" i="4"/>
  <c r="B5" i="4" s="1"/>
  <c r="G10" i="3"/>
  <c r="M9" i="3"/>
  <c r="L9" i="3"/>
  <c r="K9" i="3"/>
  <c r="J9" i="3"/>
  <c r="I9" i="3"/>
  <c r="H9" i="3"/>
  <c r="G9" i="3"/>
  <c r="F9" i="3"/>
  <c r="E9" i="3"/>
  <c r="D9" i="3"/>
  <c r="C9" i="3"/>
  <c r="B9" i="3"/>
  <c r="M8" i="3"/>
  <c r="L8" i="3"/>
  <c r="K8" i="3"/>
  <c r="J8" i="3"/>
  <c r="I8" i="3"/>
  <c r="H8" i="3"/>
  <c r="H11" i="3" s="1"/>
  <c r="G8" i="3"/>
  <c r="F8" i="3"/>
  <c r="E8" i="3"/>
  <c r="D8" i="3"/>
  <c r="C8" i="3"/>
  <c r="B8" i="3"/>
  <c r="M5" i="3"/>
  <c r="N5" i="3" s="1"/>
  <c r="L5" i="3"/>
  <c r="D5" i="3"/>
  <c r="N4" i="3"/>
  <c r="M4" i="3"/>
  <c r="L4" i="3"/>
  <c r="K4" i="3"/>
  <c r="J4" i="3"/>
  <c r="I4" i="3"/>
  <c r="I5" i="3" s="1"/>
  <c r="H4" i="3"/>
  <c r="G4" i="3"/>
  <c r="F4" i="3"/>
  <c r="E4" i="3"/>
  <c r="D4" i="3"/>
  <c r="C4" i="3"/>
  <c r="B4" i="3"/>
  <c r="M3" i="3"/>
  <c r="N3" i="3" s="1"/>
  <c r="L3" i="3"/>
  <c r="K3" i="3"/>
  <c r="K5" i="3" s="1"/>
  <c r="J3" i="3"/>
  <c r="J5" i="3" s="1"/>
  <c r="I3" i="3"/>
  <c r="H3" i="3"/>
  <c r="G3" i="3"/>
  <c r="G5" i="3" s="1"/>
  <c r="F3" i="3"/>
  <c r="E3" i="3"/>
  <c r="E5" i="3" s="1"/>
  <c r="D3" i="3"/>
  <c r="C3" i="3"/>
  <c r="C5" i="3" s="1"/>
  <c r="B3" i="3"/>
  <c r="B5" i="3" s="1"/>
  <c r="C16" i="2"/>
  <c r="D13" i="2"/>
  <c r="L12" i="2"/>
  <c r="D12" i="2"/>
  <c r="C12" i="2"/>
  <c r="B12" i="2"/>
  <c r="M11" i="2"/>
  <c r="M12" i="2" s="1"/>
  <c r="L11" i="2"/>
  <c r="K11" i="2"/>
  <c r="J11" i="2"/>
  <c r="J13" i="2" s="1"/>
  <c r="I11" i="2"/>
  <c r="H11" i="2"/>
  <c r="G11" i="2"/>
  <c r="F11" i="2"/>
  <c r="E11" i="2"/>
  <c r="D11" i="2"/>
  <c r="C11" i="2"/>
  <c r="B11" i="2"/>
  <c r="B13" i="2" s="1"/>
  <c r="M7" i="2"/>
  <c r="E7" i="2"/>
  <c r="B6" i="2"/>
  <c r="M5" i="2"/>
  <c r="L5" i="2"/>
  <c r="K5" i="2"/>
  <c r="J5" i="2"/>
  <c r="J7" i="2" s="1"/>
  <c r="I5" i="2"/>
  <c r="I7" i="2" s="1"/>
  <c r="H5" i="2"/>
  <c r="G5" i="2"/>
  <c r="F5" i="2"/>
  <c r="E5" i="2"/>
  <c r="D5" i="2"/>
  <c r="C5" i="2"/>
  <c r="B5" i="2"/>
  <c r="M4" i="2"/>
  <c r="L4" i="2"/>
  <c r="K4" i="2"/>
  <c r="K13" i="2" s="1"/>
  <c r="J4" i="2"/>
  <c r="I4" i="2"/>
  <c r="H4" i="2"/>
  <c r="H7" i="2" s="1"/>
  <c r="G4" i="2"/>
  <c r="G7" i="2" s="1"/>
  <c r="F4" i="2"/>
  <c r="N4" i="2" s="1"/>
  <c r="E4" i="2"/>
  <c r="D4" i="2"/>
  <c r="C4" i="2"/>
  <c r="C13" i="2" s="1"/>
  <c r="B4" i="2"/>
  <c r="B3" i="2"/>
  <c r="B16" i="2" s="1"/>
  <c r="G36" i="1"/>
  <c r="G9" i="5" s="1"/>
  <c r="C36" i="1"/>
  <c r="C9" i="5" s="1"/>
  <c r="M35" i="1"/>
  <c r="M36" i="1" s="1"/>
  <c r="M9" i="5" s="1"/>
  <c r="L35" i="1"/>
  <c r="L36" i="1" s="1"/>
  <c r="L9" i="5" s="1"/>
  <c r="K35" i="1"/>
  <c r="K10" i="3" s="1"/>
  <c r="H35" i="1"/>
  <c r="H10" i="3" s="1"/>
  <c r="C35" i="1"/>
  <c r="C10" i="3" s="1"/>
  <c r="N34" i="1"/>
  <c r="B8" i="7" s="1"/>
  <c r="N33" i="1"/>
  <c r="B9" i="7" s="1"/>
  <c r="C18" i="1"/>
  <c r="B18" i="1"/>
  <c r="N17" i="1"/>
  <c r="N16" i="1"/>
  <c r="C15" i="1"/>
  <c r="C3" i="2" s="1"/>
  <c r="M12" i="1"/>
  <c r="L12" i="1"/>
  <c r="K12" i="1"/>
  <c r="J12" i="1"/>
  <c r="J35" i="1" s="1"/>
  <c r="I12" i="1"/>
  <c r="I35" i="1" s="1"/>
  <c r="H12" i="1"/>
  <c r="G12" i="1"/>
  <c r="G35" i="1" s="1"/>
  <c r="F12" i="1"/>
  <c r="F35" i="1" s="1"/>
  <c r="F10" i="3" s="1"/>
  <c r="E12" i="1"/>
  <c r="E35" i="1" s="1"/>
  <c r="D12" i="1"/>
  <c r="D35" i="1" s="1"/>
  <c r="C12" i="1"/>
  <c r="B12" i="1"/>
  <c r="B35" i="1" s="1"/>
  <c r="N11" i="1"/>
  <c r="N10" i="1"/>
  <c r="B18" i="4" l="1"/>
  <c r="B10" i="3"/>
  <c r="B36" i="1"/>
  <c r="N35" i="1"/>
  <c r="B10" i="7" s="1"/>
  <c r="E13" i="2"/>
  <c r="E12" i="2"/>
  <c r="E10" i="3"/>
  <c r="E36" i="1"/>
  <c r="E9" i="5" s="1"/>
  <c r="N5" i="2"/>
  <c r="B7" i="2"/>
  <c r="F11" i="3"/>
  <c r="N8" i="3"/>
  <c r="F12" i="2"/>
  <c r="G12" i="2"/>
  <c r="G13" i="2"/>
  <c r="L10" i="3"/>
  <c r="C6" i="2"/>
  <c r="D15" i="1"/>
  <c r="H13" i="2"/>
  <c r="H12" i="2"/>
  <c r="M10" i="3"/>
  <c r="M11" i="3" s="1"/>
  <c r="K36" i="1"/>
  <c r="K9" i="5" s="1"/>
  <c r="G11" i="3"/>
  <c r="N9" i="3"/>
  <c r="B11" i="3"/>
  <c r="M13" i="2"/>
  <c r="N11" i="2"/>
  <c r="D36" i="1"/>
  <c r="D9" i="5" s="1"/>
  <c r="D10" i="3"/>
  <c r="I10" i="3"/>
  <c r="I36" i="1"/>
  <c r="I9" i="5" s="1"/>
  <c r="C8" i="2"/>
  <c r="F7" i="2"/>
  <c r="F13" i="2"/>
  <c r="J10" i="3"/>
  <c r="J11" i="3" s="1"/>
  <c r="J36" i="1"/>
  <c r="J9" i="5" s="1"/>
  <c r="F5" i="3"/>
  <c r="I11" i="3"/>
  <c r="I12" i="2"/>
  <c r="C18" i="6"/>
  <c r="F36" i="1"/>
  <c r="F9" i="5" s="1"/>
  <c r="C11" i="3"/>
  <c r="K11" i="3"/>
  <c r="D11" i="3"/>
  <c r="L11" i="3"/>
  <c r="B58" i="6"/>
  <c r="C20" i="6"/>
  <c r="C19" i="1"/>
  <c r="C22" i="1" s="1"/>
  <c r="D7" i="2"/>
  <c r="L7" i="2"/>
  <c r="J12" i="2"/>
  <c r="I13" i="2"/>
  <c r="H36" i="1"/>
  <c r="H9" i="5" s="1"/>
  <c r="K12" i="2"/>
  <c r="L13" i="2"/>
  <c r="H5" i="3"/>
  <c r="E11" i="3"/>
  <c r="B19" i="1"/>
  <c r="B22" i="1" s="1"/>
  <c r="C7" i="2"/>
  <c r="K7" i="2"/>
  <c r="D9" i="8"/>
  <c r="B51" i="6"/>
  <c r="C51" i="6" l="1"/>
  <c r="C58" i="6"/>
  <c r="N11" i="3"/>
  <c r="N7" i="2"/>
  <c r="D3" i="2"/>
  <c r="D16" i="2" s="1"/>
  <c r="D18" i="1"/>
  <c r="D19" i="1"/>
  <c r="D22" i="1" s="1"/>
  <c r="C5" i="5"/>
  <c r="C25" i="1"/>
  <c r="C26" i="1"/>
  <c r="C15" i="3" s="1"/>
  <c r="B63" i="6"/>
  <c r="D58" i="6"/>
  <c r="B64" i="6" s="1"/>
  <c r="B9" i="5"/>
  <c r="N36" i="1"/>
  <c r="N10" i="3"/>
  <c r="B5" i="5"/>
  <c r="B25" i="1"/>
  <c r="B45" i="1"/>
  <c r="C45" i="1" s="1"/>
  <c r="B26" i="1"/>
  <c r="C27" i="1" l="1"/>
  <c r="C14" i="3"/>
  <c r="C16" i="3" s="1"/>
  <c r="C18" i="3" s="1"/>
  <c r="C19" i="3" s="1"/>
  <c r="D45" i="1"/>
  <c r="B27" i="1"/>
  <c r="B14" i="3"/>
  <c r="D5" i="5"/>
  <c r="D25" i="1"/>
  <c r="D26" i="1"/>
  <c r="D15" i="3" s="1"/>
  <c r="B15" i="3"/>
  <c r="E15" i="1"/>
  <c r="D6" i="2"/>
  <c r="D8" i="2" l="1"/>
  <c r="E3" i="2"/>
  <c r="E16" i="2" s="1"/>
  <c r="E18" i="1"/>
  <c r="E19" i="1" s="1"/>
  <c r="E22" i="1" s="1"/>
  <c r="B8" i="5"/>
  <c r="B29" i="1"/>
  <c r="D14" i="3"/>
  <c r="D16" i="3" s="1"/>
  <c r="D18" i="3" s="1"/>
  <c r="D19" i="3" s="1"/>
  <c r="D27" i="1"/>
  <c r="B16" i="3"/>
  <c r="C8" i="5"/>
  <c r="C29" i="1"/>
  <c r="E26" i="1" l="1"/>
  <c r="E5" i="5"/>
  <c r="E25" i="1"/>
  <c r="E45" i="1"/>
  <c r="B18" i="3"/>
  <c r="D8" i="5"/>
  <c r="D29" i="1"/>
  <c r="F15" i="1"/>
  <c r="E6" i="2"/>
  <c r="C38" i="1"/>
  <c r="C30" i="1"/>
  <c r="B38" i="1"/>
  <c r="B30" i="1"/>
  <c r="B41" i="1" l="1"/>
  <c r="B42" i="1" s="1"/>
  <c r="B39" i="1"/>
  <c r="F3" i="2"/>
  <c r="F16" i="2" s="1"/>
  <c r="F18" i="1"/>
  <c r="F19" i="1"/>
  <c r="F22" i="1" s="1"/>
  <c r="E14" i="3"/>
  <c r="E27" i="1"/>
  <c r="E15" i="3"/>
  <c r="D38" i="1"/>
  <c r="D30" i="1"/>
  <c r="C41" i="1"/>
  <c r="C10" i="5" s="1"/>
  <c r="C11" i="5" s="1"/>
  <c r="C13" i="5" s="1"/>
  <c r="C42" i="1"/>
  <c r="C39" i="1"/>
  <c r="B19" i="3"/>
  <c r="E8" i="2"/>
  <c r="B46" i="1" l="1"/>
  <c r="C46" i="1" s="1"/>
  <c r="F5" i="5"/>
  <c r="F26" i="1"/>
  <c r="F25" i="1"/>
  <c r="F6" i="2"/>
  <c r="G15" i="1"/>
  <c r="D41" i="1"/>
  <c r="D10" i="5" s="1"/>
  <c r="D11" i="5" s="1"/>
  <c r="D13" i="5" s="1"/>
  <c r="D39" i="1"/>
  <c r="F45" i="1"/>
  <c r="C17" i="5"/>
  <c r="C18" i="5"/>
  <c r="E8" i="5"/>
  <c r="E29" i="1"/>
  <c r="E16" i="3"/>
  <c r="B10" i="5"/>
  <c r="B11" i="5" s="1"/>
  <c r="D17" i="5" l="1"/>
  <c r="D18" i="5"/>
  <c r="E38" i="1"/>
  <c r="E30" i="1"/>
  <c r="D42" i="1"/>
  <c r="G3" i="2"/>
  <c r="G16" i="2" s="1"/>
  <c r="G18" i="1"/>
  <c r="F8" i="2"/>
  <c r="D46" i="1"/>
  <c r="E18" i="3"/>
  <c r="F15" i="3"/>
  <c r="B13" i="5"/>
  <c r="F14" i="3"/>
  <c r="F27" i="1"/>
  <c r="H15" i="1" l="1"/>
  <c r="G6" i="2"/>
  <c r="E41" i="1"/>
  <c r="E42" i="1"/>
  <c r="E46" i="1" s="1"/>
  <c r="E39" i="1"/>
  <c r="F16" i="3"/>
  <c r="B18" i="5"/>
  <c r="B14" i="5"/>
  <c r="B17" i="5" s="1"/>
  <c r="E19" i="3"/>
  <c r="F8" i="5"/>
  <c r="F29" i="1"/>
  <c r="G19" i="1"/>
  <c r="G22" i="1" l="1"/>
  <c r="B10" i="4"/>
  <c r="E10" i="5"/>
  <c r="E11" i="5" s="1"/>
  <c r="F38" i="1"/>
  <c r="F30" i="1"/>
  <c r="G8" i="2"/>
  <c r="C3" i="5"/>
  <c r="C14" i="5" s="1"/>
  <c r="D3" i="5" s="1"/>
  <c r="D14" i="5" s="1"/>
  <c r="E3" i="5" s="1"/>
  <c r="F18" i="3"/>
  <c r="H18" i="1"/>
  <c r="H3" i="2"/>
  <c r="H16" i="2" s="1"/>
  <c r="H19" i="1"/>
  <c r="H22" i="1" s="1"/>
  <c r="F19" i="3" l="1"/>
  <c r="F41" i="1"/>
  <c r="F42" i="1" s="1"/>
  <c r="F39" i="1"/>
  <c r="E13" i="5"/>
  <c r="B11" i="4"/>
  <c r="B12" i="4" s="1"/>
  <c r="G26" i="1"/>
  <c r="G5" i="5"/>
  <c r="G25" i="1"/>
  <c r="G45" i="1"/>
  <c r="H45" i="1" s="1"/>
  <c r="H5" i="5"/>
  <c r="H25" i="1"/>
  <c r="H26" i="1"/>
  <c r="H15" i="3" s="1"/>
  <c r="H6" i="2"/>
  <c r="I15" i="1"/>
  <c r="F46" i="1" l="1"/>
  <c r="H14" i="3"/>
  <c r="H16" i="3" s="1"/>
  <c r="H18" i="3" s="1"/>
  <c r="H19" i="3" s="1"/>
  <c r="H27" i="1"/>
  <c r="G14" i="3"/>
  <c r="G27" i="1"/>
  <c r="E18" i="5"/>
  <c r="E17" i="5"/>
  <c r="E14" i="5"/>
  <c r="G15" i="3"/>
  <c r="I3" i="2"/>
  <c r="I16" i="2" s="1"/>
  <c r="I18" i="1"/>
  <c r="F10" i="5"/>
  <c r="F11" i="5" s="1"/>
  <c r="H8" i="2"/>
  <c r="B30" i="4"/>
  <c r="B29" i="4"/>
  <c r="B28" i="4"/>
  <c r="B19" i="4"/>
  <c r="B25" i="4"/>
  <c r="B27" i="4" s="1"/>
  <c r="F13" i="5" l="1"/>
  <c r="H8" i="5"/>
  <c r="H29" i="1"/>
  <c r="G8" i="5"/>
  <c r="G29" i="1"/>
  <c r="G16" i="3"/>
  <c r="I6" i="2"/>
  <c r="J15" i="1"/>
  <c r="B20" i="4"/>
  <c r="B21" i="4"/>
  <c r="F3" i="5"/>
  <c r="F14" i="5" s="1"/>
  <c r="G3" i="5" s="1"/>
  <c r="I19" i="1"/>
  <c r="I22" i="1" s="1"/>
  <c r="G38" i="1" l="1"/>
  <c r="G30" i="1"/>
  <c r="H38" i="1"/>
  <c r="H30" i="1"/>
  <c r="G18" i="3"/>
  <c r="J18" i="1"/>
  <c r="J19" i="1" s="1"/>
  <c r="J22" i="1" s="1"/>
  <c r="J3" i="2"/>
  <c r="J16" i="2" s="1"/>
  <c r="I5" i="5"/>
  <c r="I25" i="1"/>
  <c r="I26" i="1"/>
  <c r="I15" i="3" s="1"/>
  <c r="I45" i="1"/>
  <c r="I8" i="2"/>
  <c r="F18" i="5"/>
  <c r="F17" i="5"/>
  <c r="J5" i="5" l="1"/>
  <c r="J25" i="1"/>
  <c r="J26" i="1"/>
  <c r="J15" i="3" s="1"/>
  <c r="G19" i="3"/>
  <c r="I14" i="3"/>
  <c r="I27" i="1"/>
  <c r="H41" i="1"/>
  <c r="H10" i="5" s="1"/>
  <c r="H11" i="5" s="1"/>
  <c r="H13" i="5" s="1"/>
  <c r="H39" i="1"/>
  <c r="J45" i="1"/>
  <c r="G42" i="1"/>
  <c r="G46" i="1" s="1"/>
  <c r="G41" i="1"/>
  <c r="G39" i="1"/>
  <c r="K15" i="1"/>
  <c r="J6" i="2"/>
  <c r="I8" i="5" l="1"/>
  <c r="I29" i="1"/>
  <c r="J8" i="2"/>
  <c r="K19" i="1"/>
  <c r="K22" i="1" s="1"/>
  <c r="K18" i="1"/>
  <c r="K3" i="2"/>
  <c r="K16" i="2" s="1"/>
  <c r="H18" i="5"/>
  <c r="H17" i="5"/>
  <c r="H42" i="1"/>
  <c r="H46" i="1" s="1"/>
  <c r="J27" i="1"/>
  <c r="J14" i="3"/>
  <c r="J16" i="3" s="1"/>
  <c r="J18" i="3" s="1"/>
  <c r="J19" i="3" s="1"/>
  <c r="G10" i="5"/>
  <c r="G11" i="5" s="1"/>
  <c r="I16" i="3"/>
  <c r="J8" i="5" l="1"/>
  <c r="J29" i="1"/>
  <c r="I38" i="1"/>
  <c r="I30" i="1"/>
  <c r="I18" i="3"/>
  <c r="K5" i="5"/>
  <c r="K26" i="1"/>
  <c r="K15" i="3" s="1"/>
  <c r="K25" i="1"/>
  <c r="K45" i="1"/>
  <c r="G13" i="5"/>
  <c r="K6" i="2"/>
  <c r="L15" i="1"/>
  <c r="G18" i="5" l="1"/>
  <c r="G17" i="5"/>
  <c r="G14" i="5"/>
  <c r="I19" i="3"/>
  <c r="K14" i="3"/>
  <c r="K16" i="3" s="1"/>
  <c r="K18" i="3" s="1"/>
  <c r="K19" i="3" s="1"/>
  <c r="K27" i="1"/>
  <c r="L18" i="1"/>
  <c r="L3" i="2"/>
  <c r="L16" i="2" s="1"/>
  <c r="I41" i="1"/>
  <c r="I10" i="5" s="1"/>
  <c r="I11" i="5" s="1"/>
  <c r="I39" i="1"/>
  <c r="K8" i="2"/>
  <c r="J38" i="1"/>
  <c r="J30" i="1"/>
  <c r="I13" i="5" l="1"/>
  <c r="I42" i="1"/>
  <c r="I46" i="1" s="1"/>
  <c r="J46" i="1" s="1"/>
  <c r="H3" i="5"/>
  <c r="H14" i="5" s="1"/>
  <c r="I3" i="5" s="1"/>
  <c r="I14" i="5" s="1"/>
  <c r="J3" i="5" s="1"/>
  <c r="J14" i="5" s="1"/>
  <c r="K3" i="5" s="1"/>
  <c r="M15" i="1"/>
  <c r="L6" i="2"/>
  <c r="J41" i="1"/>
  <c r="J10" i="5" s="1"/>
  <c r="J11" i="5" s="1"/>
  <c r="J13" i="5" s="1"/>
  <c r="J42" i="1"/>
  <c r="J39" i="1"/>
  <c r="L19" i="1"/>
  <c r="L22" i="1" s="1"/>
  <c r="K8" i="5"/>
  <c r="K29" i="1"/>
  <c r="L5" i="5" l="1"/>
  <c r="L25" i="1"/>
  <c r="L26" i="1"/>
  <c r="L15" i="3" s="1"/>
  <c r="L45" i="1"/>
  <c r="L8" i="2"/>
  <c r="M18" i="1"/>
  <c r="M3" i="2"/>
  <c r="M16" i="2" s="1"/>
  <c r="B17" i="2" s="1"/>
  <c r="B13" i="4" s="1"/>
  <c r="B14" i="4" s="1"/>
  <c r="K38" i="1"/>
  <c r="K30" i="1"/>
  <c r="J17" i="5"/>
  <c r="J18" i="5"/>
  <c r="I17" i="5"/>
  <c r="I18" i="5"/>
  <c r="K41" i="1" l="1"/>
  <c r="K10" i="5" s="1"/>
  <c r="K11" i="5" s="1"/>
  <c r="K13" i="5" s="1"/>
  <c r="K39" i="1"/>
  <c r="B3" i="8"/>
  <c r="C6" i="8" s="1"/>
  <c r="M6" i="2"/>
  <c r="N18" i="1"/>
  <c r="M19" i="1"/>
  <c r="M22" i="1" s="1"/>
  <c r="L14" i="3"/>
  <c r="L16" i="3" s="1"/>
  <c r="L18" i="3" s="1"/>
  <c r="L19" i="3" s="1"/>
  <c r="L27" i="1"/>
  <c r="C7" i="8" l="1"/>
  <c r="C8" i="8" s="1"/>
  <c r="C9" i="8"/>
  <c r="N6" i="2"/>
  <c r="M8" i="2"/>
  <c r="L8" i="5"/>
  <c r="L29" i="1"/>
  <c r="K42" i="1"/>
  <c r="K46" i="1" s="1"/>
  <c r="K17" i="5"/>
  <c r="K18" i="5"/>
  <c r="K14" i="5"/>
  <c r="M26" i="1"/>
  <c r="M25" i="1"/>
  <c r="M5" i="5"/>
  <c r="N22" i="1"/>
  <c r="M45" i="1"/>
  <c r="N45" i="1" s="1"/>
  <c r="N5" i="5" l="1"/>
  <c r="M27" i="1"/>
  <c r="M14" i="3"/>
  <c r="N25" i="1"/>
  <c r="B12" i="7" s="1"/>
  <c r="L38" i="1"/>
  <c r="L30" i="1"/>
  <c r="M15" i="3"/>
  <c r="N15" i="3" s="1"/>
  <c r="N26" i="1"/>
  <c r="B11" i="7" s="1"/>
  <c r="L3" i="5"/>
  <c r="B6" i="8"/>
  <c r="B15" i="7"/>
  <c r="L41" i="1" l="1"/>
  <c r="L10" i="5" s="1"/>
  <c r="L11" i="5" s="1"/>
  <c r="L13" i="5" s="1"/>
  <c r="L39" i="1"/>
  <c r="M16" i="3"/>
  <c r="N14" i="3"/>
  <c r="L14" i="5"/>
  <c r="M3" i="5" s="1"/>
  <c r="M8" i="5"/>
  <c r="N27" i="1"/>
  <c r="M29" i="1"/>
  <c r="M18" i="3" l="1"/>
  <c r="N16" i="3"/>
  <c r="M38" i="1"/>
  <c r="N29" i="1"/>
  <c r="M30" i="1"/>
  <c r="L42" i="1"/>
  <c r="L46" i="1" s="1"/>
  <c r="L17" i="5"/>
  <c r="L18" i="5"/>
  <c r="B31" i="4"/>
  <c r="B13" i="7"/>
  <c r="M41" i="1" l="1"/>
  <c r="M42" i="1"/>
  <c r="N42" i="1" s="1"/>
  <c r="N38" i="1"/>
  <c r="N39" i="1" s="1"/>
  <c r="M39" i="1"/>
  <c r="B7" i="8"/>
  <c r="N30" i="1"/>
  <c r="N18" i="3"/>
  <c r="M19" i="3"/>
  <c r="B8" i="8" l="1"/>
  <c r="B9" i="8" s="1"/>
  <c r="B16" i="7"/>
  <c r="B32" i="4"/>
  <c r="B33" i="4" s="1"/>
  <c r="M10" i="5"/>
  <c r="M11" i="5" s="1"/>
  <c r="N41" i="1"/>
  <c r="M46" i="1"/>
  <c r="N46" i="1" s="1"/>
  <c r="N11" i="5" l="1"/>
  <c r="M13" i="5"/>
  <c r="M18" i="5" l="1"/>
  <c r="M17" i="5"/>
  <c r="N13" i="5"/>
  <c r="M14" i="5"/>
  <c r="N14" i="5" l="1"/>
  <c r="B18" i="7"/>
  <c r="B20" i="7" s="1"/>
</calcChain>
</file>

<file path=xl/sharedStrings.xml><?xml version="1.0" encoding="utf-8"?>
<sst xmlns="http://schemas.openxmlformats.org/spreadsheetml/2006/main" count="324" uniqueCount="252">
  <si>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</si>
  <si>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</si>
  <si>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</si>
  <si>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</si>
  <si>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</si>
  <si>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</si>
  <si>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</si>
  <si>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</si>
  <si>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</si>
  <si>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</si>
  <si>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</si>
  <si>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</si>
  <si>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</t>
  </si>
  <si>
    <t>ASSUMPTIONS</t>
  </si>
  <si>
    <t>Variable API %</t>
  </si>
  <si>
    <t>Commission %</t>
  </si>
  <si>
    <t>Tax Rate</t>
  </si>
  <si>
    <t>Equipment per Hire</t>
  </si>
  <si>
    <t>Revenue per Client</t>
  </si>
  <si>
    <t>HEADCOUNT</t>
  </si>
  <si>
    <t>Sales Team</t>
  </si>
  <si>
    <t>Tech Team</t>
  </si>
  <si>
    <t>New Tech Hires</t>
  </si>
  <si>
    <t>CLIENTS</t>
  </si>
  <si>
    <t>Starting Clients</t>
  </si>
  <si>
    <t>New Clients</t>
  </si>
  <si>
    <t>Churned</t>
  </si>
  <si>
    <t>Ending Clients</t>
  </si>
  <si>
    <t>Avg Clients</t>
  </si>
  <si>
    <t>REVENUE</t>
  </si>
  <si>
    <t>Total Revenue</t>
  </si>
  <si>
    <t>COST OF REVENUE</t>
  </si>
  <si>
    <t>Infrastructure (Fixed + API)</t>
  </si>
  <si>
    <t>Sales Commission (25% Revenue Share)</t>
  </si>
  <si>
    <t>Total COGS</t>
  </si>
  <si>
    <t>GROSS PROFIT</t>
  </si>
  <si>
    <t>Gross Margin %</t>
  </si>
  <si>
    <t>OPERATING EXPENSES</t>
  </si>
  <si>
    <t>Tech Team Salaries</t>
  </si>
  <si>
    <t>Office &amp; Admin</t>
  </si>
  <si>
    <t>Equipment</t>
  </si>
  <si>
    <t>Total OpEx</t>
  </si>
  <si>
    <t>EBITDA</t>
  </si>
  <si>
    <t>EBITDA Margin %</t>
  </si>
  <si>
    <t>Taxes/Reserves</t>
  </si>
  <si>
    <t>NET INCOME</t>
  </si>
  <si>
    <t>KEY METRICS</t>
  </si>
  <si>
    <t>Cumulative Revenue</t>
  </si>
  <si>
    <t>Cash Balance</t>
  </si>
  <si>
    <t>CLIENT METRICS</t>
  </si>
  <si>
    <t>Net Additions</t>
  </si>
  <si>
    <t>MoM Growth %</t>
  </si>
  <si>
    <t>N/A</t>
  </si>
  <si>
    <t>SALES METRICS</t>
  </si>
  <si>
    <t>New Sales Hires</t>
  </si>
  <si>
    <t>Deals per Person</t>
  </si>
  <si>
    <t>CHURN ANALYSIS</t>
  </si>
  <si>
    <t>Churn Rate %</t>
  </si>
  <si>
    <t>Avg Monthly Churn</t>
  </si>
  <si>
    <t>Total Headcount</t>
  </si>
  <si>
    <t>FIXED COSTS</t>
  </si>
  <si>
    <t>Tech Salaries</t>
  </si>
  <si>
    <t>Total Fixed</t>
  </si>
  <si>
    <t>VARIABLE COSTS</t>
  </si>
  <si>
    <t>Infrastructure</t>
  </si>
  <si>
    <t>Total Variable</t>
  </si>
  <si>
    <t>TOTAL COSTS</t>
  </si>
  <si>
    <t>Cost per Client</t>
  </si>
  <si>
    <t>UNIT ECONOMICS</t>
  </si>
  <si>
    <t>Revenue Model</t>
  </si>
  <si>
    <t>Price per client</t>
  </si>
  <si>
    <t>Monthly subscription</t>
  </si>
  <si>
    <t>Sales partner share (25%)</t>
  </si>
  <si>
    <t>Commission to sales network</t>
  </si>
  <si>
    <t>Net revenue to ALLONE</t>
  </si>
  <si>
    <t>What ALLONE keeps</t>
  </si>
  <si>
    <t>COSTS PER CLIENT</t>
  </si>
  <si>
    <t>Cost Structure</t>
  </si>
  <si>
    <t>12% of price</t>
  </si>
  <si>
    <t>Fixed infrastructure (monthly)</t>
  </si>
  <si>
    <t>Claude Code + DB + hosting</t>
  </si>
  <si>
    <t>Variable API cost (5%)</t>
  </si>
  <si>
    <t>Per-client API usage</t>
  </si>
  <si>
    <t>Avg clients (Month 6)</t>
  </si>
  <si>
    <t>Reference point</t>
  </si>
  <si>
    <t>Infrastructure per client</t>
  </si>
  <si>
    <t>Fixed spread + variable</t>
  </si>
  <si>
    <t>Gross profit per client</t>
  </si>
  <si>
    <t>After all direct costs</t>
  </si>
  <si>
    <t>From client data</t>
  </si>
  <si>
    <t>Customer Lifetime Value</t>
  </si>
  <si>
    <t>1/churn rate</t>
  </si>
  <si>
    <t>Monthly churn rate</t>
  </si>
  <si>
    <t>Average across Year 1</t>
  </si>
  <si>
    <t>Customer lifetime (months)</t>
  </si>
  <si>
    <t>1 / churn rate</t>
  </si>
  <si>
    <t>Lifetime revenue</t>
  </si>
  <si>
    <t>Total billings</t>
  </si>
  <si>
    <t>Lifetime revenue to ALLONE</t>
  </si>
  <si>
    <t>After sales share</t>
  </si>
  <si>
    <t>Lifetime gross profit</t>
  </si>
  <si>
    <t>Value per customer</t>
  </si>
  <si>
    <t>LTV/CAC Ratio</t>
  </si>
  <si>
    <t>&gt;3x is healthy</t>
  </si>
  <si>
    <t>Capital Efficiency</t>
  </si>
  <si>
    <t>CAC/Monthly margin</t>
  </si>
  <si>
    <t>Upfront acquisition cost</t>
  </si>
  <si>
    <t>Commission-only model = no CAC</t>
  </si>
  <si>
    <t>Marketing per client</t>
  </si>
  <si>
    <t>Y1 marketing / Y1 new clients</t>
  </si>
  <si>
    <t>Total acquisition cost</t>
  </si>
  <si>
    <t>Tech + Office + Equip</t>
  </si>
  <si>
    <t>Payback period (months)</t>
  </si>
  <si>
    <t>Immediate if no CAC</t>
  </si>
  <si>
    <t>Current Clients (M1)</t>
  </si>
  <si>
    <t>Key Metrics</t>
  </si>
  <si>
    <t>Gross margin %</t>
  </si>
  <si>
    <t>Net margin % (to ALLONE)</t>
  </si>
  <si>
    <t>On net revenue</t>
  </si>
  <si>
    <t>Break-even clients</t>
  </si>
  <si>
    <t>Monthly fixed costs / Gross profit</t>
  </si>
  <si>
    <t>Total Costs</t>
  </si>
  <si>
    <t>NOTE: Traditional LTV/CAC ratio doesn't apply to this model.</t>
  </si>
  <si>
    <t>Sales partners receive 25% ongoing revenue share, not one-time commission.</t>
  </si>
  <si>
    <t>This eliminates upfront CAC and aligns partner incentives with retention.</t>
  </si>
  <si>
    <t>CASH FLOW</t>
  </si>
  <si>
    <t>Opening Balance</t>
  </si>
  <si>
    <t>Cash In (Revenue)</t>
  </si>
  <si>
    <t>Cash Out:</t>
  </si>
  <si>
    <t xml:space="preserve">  COGS</t>
  </si>
  <si>
    <t xml:space="preserve">  OpEx</t>
  </si>
  <si>
    <t xml:space="preserve">  Taxes</t>
  </si>
  <si>
    <t>Total Cash Out</t>
  </si>
  <si>
    <t>Net Cash Flow</t>
  </si>
  <si>
    <t>Closing Balance</t>
  </si>
  <si>
    <t>METRICS</t>
  </si>
  <si>
    <t>Runway (months)</t>
  </si>
  <si>
    <t>Break-Even?</t>
  </si>
  <si>
    <t>STAGE 1: $40,000 (Months 1-6)</t>
  </si>
  <si>
    <t>Category</t>
  </si>
  <si>
    <t>Amount</t>
  </si>
  <si>
    <t>%</t>
  </si>
  <si>
    <t>Notes</t>
  </si>
  <si>
    <t>OPERATIONS</t>
  </si>
  <si>
    <t xml:space="preserve">  Tech Team Salaries</t>
  </si>
  <si>
    <t>2-3 developers × $1,500/mo × 6mo</t>
  </si>
  <si>
    <t xml:space="preserve">  Office Rent</t>
  </si>
  <si>
    <t>$1,500/mo × 6 months</t>
  </si>
  <si>
    <t>Subtotal Operations</t>
  </si>
  <si>
    <t>TECHNOLOGY</t>
  </si>
  <si>
    <t xml:space="preserve">  AI Subscriptions</t>
  </si>
  <si>
    <t>OpenAI, Anthropic APIs</t>
  </si>
  <si>
    <t xml:space="preserve">  Database &amp; Hosting</t>
  </si>
  <si>
    <t>Supabase, cloud infrastructure</t>
  </si>
  <si>
    <t xml:space="preserve">  Software Tools</t>
  </si>
  <si>
    <t>n8n, dev tools, licenses</t>
  </si>
  <si>
    <t>Subtotal Technology</t>
  </si>
  <si>
    <t>SETUP &amp; GROWTH</t>
  </si>
  <si>
    <t xml:space="preserve">  Equipment</t>
  </si>
  <si>
    <t>Hardware for tech team</t>
  </si>
  <si>
    <t xml:space="preserve">  Marketing &amp; Launch</t>
  </si>
  <si>
    <t>Initial outreach, branding</t>
  </si>
  <si>
    <t>Subtotal Setup</t>
  </si>
  <si>
    <t>TOTAL STAGE 1</t>
  </si>
  <si>
    <t>MILESTONE:</t>
  </si>
  <si>
    <t>Break-even by Month 2, 100+ clients by Month 6</t>
  </si>
  <si>
    <t>STAGE 2: $200,000 (Months 7-18)</t>
  </si>
  <si>
    <t>INFRASTRUCTURE</t>
  </si>
  <si>
    <t xml:space="preserve">  AI Training Servers (GPUs)</t>
  </si>
  <si>
    <t>Model training capability</t>
  </si>
  <si>
    <t xml:space="preserve">  Production Servers</t>
  </si>
  <si>
    <t>Hosting, inference</t>
  </si>
  <si>
    <t xml:space="preserve">  Setup &amp; Integration</t>
  </si>
  <si>
    <t>Installation, configuration</t>
  </si>
  <si>
    <t>Subtotal Infrastructure</t>
  </si>
  <si>
    <t>$1,500/mo × 8 months</t>
  </si>
  <si>
    <t xml:space="preserve">  Additional Tech Hires</t>
  </si>
  <si>
    <t>3 developers × $1,500 × ~10mo</t>
  </si>
  <si>
    <t xml:space="preserve">  AI Subscriptions (transition)</t>
  </si>
  <si>
    <t>Reduced after own servers</t>
  </si>
  <si>
    <t>Production databases</t>
  </si>
  <si>
    <t xml:space="preserve">  Equipment (3 new hires)</t>
  </si>
  <si>
    <t>$1,000 × 3</t>
  </si>
  <si>
    <t>GROWTH &amp; EXPANSION</t>
  </si>
  <si>
    <t xml:space="preserve">  Regional Marketing</t>
  </si>
  <si>
    <t>Armenia, Azerbaijan expansion</t>
  </si>
  <si>
    <t xml:space="preserve">  Partnership Development</t>
  </si>
  <si>
    <t>Local integrators, resellers</t>
  </si>
  <si>
    <t xml:space="preserve">  Training &amp; Onboarding</t>
  </si>
  <si>
    <t>New team members</t>
  </si>
  <si>
    <t>Subtotal Growth</t>
  </si>
  <si>
    <t>TOTAL STAGE 2</t>
  </si>
  <si>
    <t>Own AI infrastructure, regional expansion, 400+ clients</t>
  </si>
  <si>
    <t>INVESTMENT SUMMARY</t>
  </si>
  <si>
    <t>Stage 1</t>
  </si>
  <si>
    <t>Stage 2</t>
  </si>
  <si>
    <t>Total</t>
  </si>
  <si>
    <t>Investment Amount</t>
  </si>
  <si>
    <t>Equity</t>
  </si>
  <si>
    <t>10%</t>
  </si>
  <si>
    <t>15%</t>
  </si>
  <si>
    <t>25%</t>
  </si>
  <si>
    <t>Timeline</t>
  </si>
  <si>
    <t>Months 1-6</t>
  </si>
  <si>
    <t>Months 7-18</t>
  </si>
  <si>
    <t>18 months</t>
  </si>
  <si>
    <t>POST-MONEY VALUATION</t>
  </si>
  <si>
    <t xml:space="preserve">  After Stage 1</t>
  </si>
  <si>
    <t>($40K ÷ 10%)</t>
  </si>
  <si>
    <t xml:space="preserve">  After Stage 2</t>
  </si>
  <si>
    <t>($240K ÷ 25%)</t>
  </si>
  <si>
    <t>Stage</t>
  </si>
  <si>
    <t>Purpose</t>
  </si>
  <si>
    <t>Milestone</t>
  </si>
  <si>
    <t>Stage 1 (Now)</t>
  </si>
  <si>
    <t>Sales team (6→10), Office (12mo), Equipment</t>
  </si>
  <si>
    <t>20+ clients, $15K/mo revenue</t>
  </si>
  <si>
    <t>Own infrastructure (-50% infra), 15-20 sales, Regional expansion</t>
  </si>
  <si>
    <t>100+ clients, $50K+/mo revenue</t>
  </si>
  <si>
    <t>Stage 3</t>
  </si>
  <si>
    <t>Caucasus expansion, Full infrastructure, Product development</t>
  </si>
  <si>
    <t>300+ clients, Profitable</t>
  </si>
  <si>
    <t>STAGE 1 BREAKDOWN</t>
  </si>
  <si>
    <t>Office (12 months)</t>
  </si>
  <si>
    <t>Tech Salaries (12 months)</t>
  </si>
  <si>
    <t>Commission (Year 1)</t>
  </si>
  <si>
    <t>Infrastructure (Year 1)</t>
  </si>
  <si>
    <t>Revenue (Year 1)</t>
  </si>
  <si>
    <t>Net Profit (Year 1)</t>
  </si>
  <si>
    <t>Max Cash Deficit</t>
  </si>
  <si>
    <t>Investment Provided</t>
  </si>
  <si>
    <t>Safety Buffer</t>
  </si>
  <si>
    <t>Year 1</t>
  </si>
  <si>
    <t>Year 2</t>
  </si>
  <si>
    <t>Year 3</t>
  </si>
  <si>
    <t>BASE CASE</t>
  </si>
  <si>
    <t>Clients (end)</t>
  </si>
  <si>
    <t>Revenue</t>
  </si>
  <si>
    <t>Gross Profit</t>
  </si>
  <si>
    <t>Net Profit</t>
  </si>
  <si>
    <t>Net Margin %</t>
  </si>
  <si>
    <t>Infra Cost/Client</t>
  </si>
  <si>
    <t>Market</t>
  </si>
  <si>
    <t>Georgia</t>
  </si>
  <si>
    <t>Georgia+</t>
  </si>
  <si>
    <t>Caucasus</t>
  </si>
  <si>
    <t>SCENARIOS (Y1)</t>
  </si>
  <si>
    <t>Deals/Person</t>
  </si>
  <si>
    <t>Total New Clients</t>
  </si>
  <si>
    <t>Y1 Clients (end)</t>
  </si>
  <si>
    <t>Y1 Revenue</t>
  </si>
  <si>
    <t>Y1 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</si>
</sst>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\$#,##0"/>
    <numFmt numFmtId="166" formatCode="#,##0.0"/>
    <numFmt numFmtId="167" formatCode="0.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color rgb="FF000000"/>
      <name val="Cambria"/>
      <charset val="1"/>
    </font>
    <font>
      <sz val="11"/>
      <color rgb="FF0000FF"/>
      <name val="Cambria"/>
      <charset val="1"/>
    </font>
    <font>
      <sz val="11"/>
      <color rgb="FF000000"/>
      <name val="Cambria"/>
      <charset val="1"/>
    </font>
    <font>
      <i/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DCE5"/>
        <bgColor rgb="FFF2F2F2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/>
    <xf numFmtId="0" fontId="0" fillId="3" borderId="0" xfId="0" applyFill="1" applyAlignment="1"/>
    <xf numFmtId="164" fontId="3" fillId="0" borderId="0" xfId="0" applyNumberFormat="1" applyFont="1" applyAlignment="1"/>
    <xf numFmtId="165" fontId="3" fillId="0" borderId="0" xfId="0" applyNumberFormat="1" applyFont="1" applyAlignment="1"/>
    <xf numFmtId="3" fontId="3" fillId="0" borderId="0" xfId="0" applyNumberFormat="1" applyFont="1" applyAlignment="1"/>
    <xf numFmtId="3" fontId="2" fillId="0" borderId="0" xfId="0" applyNumberFormat="1" applyFont="1" applyAlignment="1"/>
    <xf numFmtId="3" fontId="4" fillId="0" borderId="0" xfId="0" applyNumberFormat="1" applyFont="1" applyAlignment="1"/>
    <xf numFmtId="166" fontId="4" fillId="0" borderId="0" xfId="0" applyNumberFormat="1" applyFont="1" applyAlignment="1"/>
    <xf numFmtId="0" fontId="0" fillId="4" borderId="0" xfId="0" applyFont="1" applyFill="1" applyAlignment="1"/>
    <xf numFmtId="165" fontId="2" fillId="4" borderId="0" xfId="0" applyNumberFormat="1" applyFont="1" applyFill="1" applyAlignment="1"/>
    <xf numFmtId="165" fontId="4" fillId="0" borderId="0" xfId="0" applyNumberFormat="1" applyFont="1" applyAlignment="1"/>
    <xf numFmtId="165" fontId="2" fillId="0" borderId="0" xfId="0" applyNumberFormat="1" applyFont="1" applyAlignment="1"/>
    <xf numFmtId="0" fontId="2" fillId="4" borderId="0" xfId="0" applyFont="1" applyFill="1" applyAlignment="1"/>
    <xf numFmtId="164" fontId="4" fillId="0" borderId="0" xfId="0" applyNumberFormat="1" applyFont="1" applyAlignment="1"/>
    <xf numFmtId="3" fontId="0" fillId="0" borderId="0" xfId="0" applyNumberFormat="1" applyAlignment="1"/>
    <xf numFmtId="164" fontId="0" fillId="0" borderId="0" xfId="0" applyNumberFormat="1" applyAlignment="1"/>
    <xf numFmtId="167" fontId="0" fillId="0" borderId="0" xfId="0" applyNumberFormat="1" applyAlignment="1"/>
    <xf numFmtId="165" fontId="0" fillId="0" borderId="0" xfId="0" applyNumberFormat="1" applyAlignment="1"/>
    <xf numFmtId="165" fontId="0" fillId="4" borderId="0" xfId="0" applyNumberFormat="1" applyFill="1" applyAlignment="1"/>
    <xf numFmtId="0" fontId="1" fillId="2" borderId="0" xfId="0" applyFont="1" applyFill="1" applyAlignment="1"/>
    <xf numFmtId="0" fontId="0" fillId="2" borderId="0" xfId="0" applyFill="1" applyAlignment="1"/>
    <xf numFmtId="165" fontId="3" fillId="3" borderId="0" xfId="0" applyNumberFormat="1" applyFont="1" applyFill="1" applyAlignment="1"/>
    <xf numFmtId="165" fontId="0" fillId="3" borderId="0" xfId="0" applyNumberFormat="1" applyFill="1" applyAlignment="1"/>
    <xf numFmtId="167" fontId="0" fillId="3" borderId="0" xfId="0" applyNumberFormat="1" applyFill="1" applyAlignment="1"/>
    <xf numFmtId="164" fontId="0" fillId="3" borderId="0" xfId="0" applyNumberFormat="1" applyFill="1" applyAlignment="1"/>
    <xf numFmtId="0" fontId="5" fillId="0" borderId="0" xfId="0" applyFont="1" applyAlignment="1"/>
    <xf numFmtId="0" fontId="1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65" fontId="0" fillId="0" borderId="0" xfId="0" applyNumberFormat="1"/>
    <xf numFmtId="0" fontId="2" fillId="4" borderId="0" xfId="0" applyFont="1" applyFill="1"/>
    <xf numFmtId="165" fontId="0" fillId="4" borderId="0" xfId="0" applyNumberFormat="1" applyFill="1"/>
    <xf numFmtId="9" fontId="0" fillId="4" borderId="0" xfId="0" applyNumberFormat="1" applyFill="1"/>
    <xf numFmtId="0" fontId="0" fillId="4" borderId="0" xfId="0" applyFill="1"/>
    <xf numFmtId="165" fontId="1" fillId="2" borderId="0" xfId="0" applyNumberFormat="1" applyFont="1" applyFill="1"/>
    <xf numFmtId="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zoomScaleNormal="100" workbookViewId="0">
      <pane xSplit="1" ySplit="1" topLeftCell="B28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22" style="1" customWidth="1"/>
    <col min="2" max="14" width="12" style="1" customWidth="1"/>
  </cols>
  <sheetData>
    <row r="1" spans="1:14" ht="15" customHeigh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" customHeight="1" x14ac:dyDescent="0.3">
      <c r="A2" s="3" t="s">
        <v>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 customHeight="1" x14ac:dyDescent="0.3">
      <c r="A3" s="1" t="s">
        <v>14</v>
      </c>
      <c r="B3" s="5">
        <v>0.05</v>
      </c>
      <c r="C3" s="5">
        <v>0.05</v>
      </c>
      <c r="D3" s="5">
        <v>0.05</v>
      </c>
      <c r="E3" s="5">
        <v>0.05</v>
      </c>
      <c r="F3" s="5">
        <v>0.05</v>
      </c>
      <c r="G3" s="5">
        <v>0.05</v>
      </c>
      <c r="H3" s="5">
        <v>0.05</v>
      </c>
      <c r="I3" s="5">
        <v>0.05</v>
      </c>
      <c r="J3" s="5">
        <v>0.05</v>
      </c>
      <c r="K3" s="5">
        <v>0.05</v>
      </c>
      <c r="L3" s="5">
        <v>0.05</v>
      </c>
      <c r="M3" s="5">
        <v>0.05</v>
      </c>
    </row>
    <row r="4" spans="1:14" ht="15" customHeight="1" x14ac:dyDescent="0.3">
      <c r="A4" s="1" t="s">
        <v>15</v>
      </c>
      <c r="B4" s="5">
        <v>0.25</v>
      </c>
      <c r="C4" s="5">
        <v>0.25</v>
      </c>
      <c r="D4" s="5">
        <v>0.25</v>
      </c>
      <c r="E4" s="5">
        <v>0.25</v>
      </c>
      <c r="F4" s="5">
        <v>0.25</v>
      </c>
      <c r="G4" s="5">
        <v>0.25</v>
      </c>
      <c r="H4" s="5">
        <v>0.25</v>
      </c>
      <c r="I4" s="5">
        <v>0.25</v>
      </c>
      <c r="J4" s="5">
        <v>0.25</v>
      </c>
      <c r="K4" s="5">
        <v>0.25</v>
      </c>
      <c r="L4" s="5">
        <v>0.25</v>
      </c>
      <c r="M4" s="5">
        <v>0.25</v>
      </c>
    </row>
    <row r="5" spans="1:14" ht="15" customHeight="1" x14ac:dyDescent="0.3">
      <c r="A5" s="1" t="s">
        <v>16</v>
      </c>
      <c r="B5" s="5">
        <v>0.15</v>
      </c>
      <c r="C5" s="5">
        <v>0.15</v>
      </c>
      <c r="D5" s="5">
        <v>0.15</v>
      </c>
      <c r="E5" s="5">
        <v>0.15</v>
      </c>
      <c r="F5" s="5">
        <v>0.15</v>
      </c>
      <c r="G5" s="5">
        <v>0.15</v>
      </c>
      <c r="H5" s="5">
        <v>0.15</v>
      </c>
      <c r="I5" s="5">
        <v>0.15</v>
      </c>
      <c r="J5" s="5">
        <v>0.15</v>
      </c>
      <c r="K5" s="5">
        <v>0.15</v>
      </c>
      <c r="L5" s="5">
        <v>0.15</v>
      </c>
      <c r="M5" s="5">
        <v>0.15</v>
      </c>
    </row>
    <row r="6" spans="1:14" ht="15" customHeight="1" x14ac:dyDescent="0.3">
      <c r="A6" s="1" t="s">
        <v>17</v>
      </c>
      <c r="B6" s="6">
        <v>1000</v>
      </c>
      <c r="C6" s="6">
        <v>1000</v>
      </c>
      <c r="D6" s="6">
        <v>1000</v>
      </c>
      <c r="E6" s="6">
        <v>1000</v>
      </c>
      <c r="F6" s="6">
        <v>1000</v>
      </c>
      <c r="G6" s="6">
        <v>1000</v>
      </c>
      <c r="H6" s="6">
        <v>1000</v>
      </c>
      <c r="I6" s="6">
        <v>1000</v>
      </c>
      <c r="J6" s="6">
        <v>1000</v>
      </c>
      <c r="K6" s="6">
        <v>1000</v>
      </c>
      <c r="L6" s="6">
        <v>1000</v>
      </c>
      <c r="M6" s="6">
        <v>1000</v>
      </c>
    </row>
    <row r="7" spans="1:14" ht="15" customHeight="1" x14ac:dyDescent="0.3">
      <c r="A7" s="1" t="s">
        <v>18</v>
      </c>
      <c r="B7" s="6">
        <v>300</v>
      </c>
      <c r="C7" s="6">
        <v>300</v>
      </c>
      <c r="D7" s="6">
        <v>300</v>
      </c>
      <c r="E7" s="6">
        <v>300</v>
      </c>
      <c r="F7" s="6">
        <v>300</v>
      </c>
      <c r="G7" s="6">
        <v>300</v>
      </c>
      <c r="H7" s="6">
        <v>300</v>
      </c>
      <c r="I7" s="6">
        <v>300</v>
      </c>
      <c r="J7" s="6">
        <v>300</v>
      </c>
      <c r="K7" s="6">
        <v>300</v>
      </c>
      <c r="L7" s="6">
        <v>300</v>
      </c>
      <c r="M7" s="6">
        <v>300</v>
      </c>
    </row>
    <row r="9" spans="1:14" ht="15" customHeight="1" x14ac:dyDescent="0.3">
      <c r="A9" s="3" t="s">
        <v>19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5" customHeight="1" x14ac:dyDescent="0.3">
      <c r="A10" s="1" t="s">
        <v>20</v>
      </c>
      <c r="B10" s="7">
        <v>6</v>
      </c>
      <c r="C10" s="7">
        <v>6</v>
      </c>
      <c r="D10" s="7">
        <v>6</v>
      </c>
      <c r="E10" s="7">
        <v>8</v>
      </c>
      <c r="F10" s="7">
        <v>8</v>
      </c>
      <c r="G10" s="7">
        <v>10</v>
      </c>
      <c r="H10" s="7">
        <v>10</v>
      </c>
      <c r="I10" s="7">
        <v>12</v>
      </c>
      <c r="J10" s="7">
        <v>12</v>
      </c>
      <c r="K10" s="7">
        <v>13</v>
      </c>
      <c r="L10" s="7">
        <v>14</v>
      </c>
      <c r="M10" s="7">
        <v>15</v>
      </c>
      <c r="N10" s="8">
        <f>M10</f>
        <v>15</v>
      </c>
    </row>
    <row r="11" spans="1:14" ht="15" customHeight="1" x14ac:dyDescent="0.3">
      <c r="A11" s="1" t="s">
        <v>21</v>
      </c>
      <c r="B11" s="7">
        <v>2</v>
      </c>
      <c r="C11" s="7">
        <v>2</v>
      </c>
      <c r="D11" s="7">
        <v>2</v>
      </c>
      <c r="E11" s="7">
        <v>2</v>
      </c>
      <c r="F11" s="7">
        <v>2</v>
      </c>
      <c r="G11" s="7">
        <v>3</v>
      </c>
      <c r="H11" s="7">
        <v>3</v>
      </c>
      <c r="I11" s="7">
        <v>3</v>
      </c>
      <c r="J11" s="7">
        <v>3</v>
      </c>
      <c r="K11" s="7">
        <v>4</v>
      </c>
      <c r="L11" s="7">
        <v>4</v>
      </c>
      <c r="M11" s="7">
        <v>4</v>
      </c>
      <c r="N11" s="8">
        <f>M11</f>
        <v>4</v>
      </c>
    </row>
    <row r="12" spans="1:14" ht="15" customHeight="1" x14ac:dyDescent="0.3">
      <c r="A12" s="1" t="s">
        <v>22</v>
      </c>
      <c r="B12" s="9">
        <f>B11</f>
        <v>2</v>
      </c>
      <c r="C12" s="9">
        <f t="shared" ref="C12:M12" si="0">MAX(0,C11-B11)</f>
        <v>0</v>
      </c>
      <c r="D12" s="9">
        <f t="shared" si="0"/>
        <v>0</v>
      </c>
      <c r="E12" s="9">
        <f t="shared" si="0"/>
        <v>0</v>
      </c>
      <c r="F12" s="9">
        <f t="shared" si="0"/>
        <v>0</v>
      </c>
      <c r="G12" s="9">
        <f t="shared" si="0"/>
        <v>1</v>
      </c>
      <c r="H12" s="9">
        <f t="shared" si="0"/>
        <v>0</v>
      </c>
      <c r="I12" s="9">
        <f t="shared" si="0"/>
        <v>0</v>
      </c>
      <c r="J12" s="9">
        <f t="shared" si="0"/>
        <v>0</v>
      </c>
      <c r="K12" s="9">
        <f t="shared" si="0"/>
        <v>1</v>
      </c>
      <c r="L12" s="9">
        <f t="shared" si="0"/>
        <v>0</v>
      </c>
      <c r="M12" s="9">
        <f t="shared" si="0"/>
        <v>0</v>
      </c>
    </row>
    <row r="14" spans="1:14" ht="15" customHeight="1" x14ac:dyDescent="0.3">
      <c r="A14" s="3" t="s">
        <v>23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5" customHeight="1" x14ac:dyDescent="0.3">
      <c r="A15" s="1" t="s">
        <v>24</v>
      </c>
      <c r="B15" s="7">
        <v>10</v>
      </c>
      <c r="C15" s="9">
        <f t="shared" ref="C15:M15" si="1">B18</f>
        <v>27</v>
      </c>
      <c r="D15" s="9">
        <f t="shared" si="1"/>
        <v>43</v>
      </c>
      <c r="E15" s="9">
        <f t="shared" si="1"/>
        <v>58</v>
      </c>
      <c r="F15" s="9">
        <f t="shared" si="1"/>
        <v>75</v>
      </c>
      <c r="G15" s="9">
        <f t="shared" si="1"/>
        <v>94</v>
      </c>
      <c r="H15" s="9">
        <f t="shared" si="1"/>
        <v>115</v>
      </c>
      <c r="I15" s="9">
        <f t="shared" si="1"/>
        <v>137</v>
      </c>
      <c r="J15" s="9">
        <f t="shared" si="1"/>
        <v>161</v>
      </c>
      <c r="K15" s="9">
        <f t="shared" si="1"/>
        <v>186</v>
      </c>
      <c r="L15" s="9">
        <f t="shared" si="1"/>
        <v>211</v>
      </c>
      <c r="M15" s="9">
        <f t="shared" si="1"/>
        <v>237</v>
      </c>
    </row>
    <row r="16" spans="1:14" ht="15" customHeight="1" x14ac:dyDescent="0.3">
      <c r="A16" s="1" t="s">
        <v>25</v>
      </c>
      <c r="B16" s="7">
        <v>18</v>
      </c>
      <c r="C16" s="7">
        <v>18</v>
      </c>
      <c r="D16" s="7">
        <v>18</v>
      </c>
      <c r="E16" s="7">
        <v>21</v>
      </c>
      <c r="F16" s="7">
        <v>24</v>
      </c>
      <c r="G16" s="7">
        <v>27</v>
      </c>
      <c r="H16" s="7">
        <v>30</v>
      </c>
      <c r="I16" s="7">
        <v>33</v>
      </c>
      <c r="J16" s="7">
        <v>36</v>
      </c>
      <c r="K16" s="7">
        <v>37</v>
      </c>
      <c r="L16" s="7">
        <v>40</v>
      </c>
      <c r="M16" s="7">
        <v>43</v>
      </c>
      <c r="N16" s="8">
        <f>SUM(B16:M16)</f>
        <v>345</v>
      </c>
    </row>
    <row r="17" spans="1:14" ht="15" customHeight="1" x14ac:dyDescent="0.3">
      <c r="A17" s="1" t="s">
        <v>26</v>
      </c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8</v>
      </c>
      <c r="I17" s="7">
        <v>9</v>
      </c>
      <c r="J17" s="7">
        <v>11</v>
      </c>
      <c r="K17" s="7">
        <v>12</v>
      </c>
      <c r="L17" s="7">
        <v>14</v>
      </c>
      <c r="M17" s="7">
        <v>16</v>
      </c>
      <c r="N17" s="8">
        <f>SUM(B17:M17)</f>
        <v>91</v>
      </c>
    </row>
    <row r="18" spans="1:14" ht="15" customHeight="1" x14ac:dyDescent="0.3">
      <c r="A18" s="1" t="s">
        <v>27</v>
      </c>
      <c r="B18" s="9">
        <f t="shared" ref="B18:M18" si="2">B15+B16-B17</f>
        <v>27</v>
      </c>
      <c r="C18" s="9">
        <f t="shared" si="2"/>
        <v>43</v>
      </c>
      <c r="D18" s="9">
        <f t="shared" si="2"/>
        <v>58</v>
      </c>
      <c r="E18" s="9">
        <f t="shared" si="2"/>
        <v>75</v>
      </c>
      <c r="F18" s="9">
        <f t="shared" si="2"/>
        <v>94</v>
      </c>
      <c r="G18" s="9">
        <f t="shared" si="2"/>
        <v>115</v>
      </c>
      <c r="H18" s="9">
        <f t="shared" si="2"/>
        <v>137</v>
      </c>
      <c r="I18" s="9">
        <f t="shared" si="2"/>
        <v>161</v>
      </c>
      <c r="J18" s="9">
        <f t="shared" si="2"/>
        <v>186</v>
      </c>
      <c r="K18" s="9">
        <f t="shared" si="2"/>
        <v>211</v>
      </c>
      <c r="L18" s="9">
        <f t="shared" si="2"/>
        <v>237</v>
      </c>
      <c r="M18" s="9">
        <f t="shared" si="2"/>
        <v>264</v>
      </c>
      <c r="N18" s="8">
        <f>M18</f>
        <v>264</v>
      </c>
    </row>
    <row r="19" spans="1:14" ht="15" customHeight="1" x14ac:dyDescent="0.3">
      <c r="A19" s="1" t="s">
        <v>28</v>
      </c>
      <c r="B19" s="10">
        <f t="shared" ref="B19:M19" si="3">(B15+B18)/2</f>
        <v>18.5</v>
      </c>
      <c r="C19" s="10">
        <f t="shared" si="3"/>
        <v>35</v>
      </c>
      <c r="D19" s="10">
        <f t="shared" si="3"/>
        <v>50.5</v>
      </c>
      <c r="E19" s="10">
        <f t="shared" si="3"/>
        <v>66.5</v>
      </c>
      <c r="F19" s="10">
        <f t="shared" si="3"/>
        <v>84.5</v>
      </c>
      <c r="G19" s="10">
        <f t="shared" si="3"/>
        <v>104.5</v>
      </c>
      <c r="H19" s="10">
        <f t="shared" si="3"/>
        <v>126</v>
      </c>
      <c r="I19" s="10">
        <f t="shared" si="3"/>
        <v>149</v>
      </c>
      <c r="J19" s="10">
        <f t="shared" si="3"/>
        <v>173.5</v>
      </c>
      <c r="K19" s="10">
        <f t="shared" si="3"/>
        <v>198.5</v>
      </c>
      <c r="L19" s="10">
        <f t="shared" si="3"/>
        <v>224</v>
      </c>
      <c r="M19" s="10">
        <f t="shared" si="3"/>
        <v>250.5</v>
      </c>
    </row>
    <row r="21" spans="1:14" ht="15" customHeight="1" x14ac:dyDescent="0.3">
      <c r="A21" s="3" t="s">
        <v>29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5" customHeight="1" x14ac:dyDescent="0.3">
      <c r="A22" s="11" t="s">
        <v>30</v>
      </c>
      <c r="B22" s="12">
        <f t="shared" ref="B22:M22" si="4">B19*B7</f>
        <v>5550</v>
      </c>
      <c r="C22" s="12">
        <f t="shared" si="4"/>
        <v>10500</v>
      </c>
      <c r="D22" s="12">
        <f t="shared" si="4"/>
        <v>15150</v>
      </c>
      <c r="E22" s="12">
        <f t="shared" si="4"/>
        <v>19950</v>
      </c>
      <c r="F22" s="12">
        <f t="shared" si="4"/>
        <v>25350</v>
      </c>
      <c r="G22" s="12">
        <f t="shared" si="4"/>
        <v>31350</v>
      </c>
      <c r="H22" s="12">
        <f t="shared" si="4"/>
        <v>37800</v>
      </c>
      <c r="I22" s="12">
        <f t="shared" si="4"/>
        <v>44700</v>
      </c>
      <c r="J22" s="12">
        <f t="shared" si="4"/>
        <v>52050</v>
      </c>
      <c r="K22" s="12">
        <f t="shared" si="4"/>
        <v>59550</v>
      </c>
      <c r="L22" s="12">
        <f t="shared" si="4"/>
        <v>67200</v>
      </c>
      <c r="M22" s="12">
        <f t="shared" si="4"/>
        <v>75150</v>
      </c>
      <c r="N22" s="12">
        <f>SUM(B22:M22)</f>
        <v>444300</v>
      </c>
    </row>
    <row r="24" spans="1:14" ht="15" customHeight="1" x14ac:dyDescent="0.3">
      <c r="A24" s="3" t="s">
        <v>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5" customHeight="1" x14ac:dyDescent="0.3">
      <c r="A25" s="1" t="s">
        <v>32</v>
      </c>
      <c r="B25" s="13">
        <f t="shared" ref="B25:M25" si="5">600+B22*B3</f>
        <v>877.5</v>
      </c>
      <c r="C25" s="13">
        <f t="shared" si="5"/>
        <v>1125</v>
      </c>
      <c r="D25" s="13">
        <f t="shared" si="5"/>
        <v>1357.5</v>
      </c>
      <c r="E25" s="13">
        <f t="shared" si="5"/>
        <v>1597.5</v>
      </c>
      <c r="F25" s="13">
        <f t="shared" si="5"/>
        <v>1867.5</v>
      </c>
      <c r="G25" s="13">
        <f t="shared" si="5"/>
        <v>2167.5</v>
      </c>
      <c r="H25" s="13">
        <f t="shared" si="5"/>
        <v>2490</v>
      </c>
      <c r="I25" s="13">
        <f t="shared" si="5"/>
        <v>2835</v>
      </c>
      <c r="J25" s="13">
        <f t="shared" si="5"/>
        <v>3202.5</v>
      </c>
      <c r="K25" s="13">
        <f t="shared" si="5"/>
        <v>3577.5</v>
      </c>
      <c r="L25" s="13">
        <f t="shared" si="5"/>
        <v>3960</v>
      </c>
      <c r="M25" s="13">
        <f t="shared" si="5"/>
        <v>4357.5</v>
      </c>
      <c r="N25" s="14">
        <f>SUM(B25:M25)</f>
        <v>29415</v>
      </c>
    </row>
    <row r="26" spans="1:14" ht="15" customHeight="1" x14ac:dyDescent="0.3">
      <c r="A26" s="1" t="s">
        <v>33</v>
      </c>
      <c r="B26" s="13">
        <f t="shared" ref="B26:M26" si="6">B22*B4</f>
        <v>1387.5</v>
      </c>
      <c r="C26" s="13">
        <f t="shared" si="6"/>
        <v>2625</v>
      </c>
      <c r="D26" s="13">
        <f t="shared" si="6"/>
        <v>3787.5</v>
      </c>
      <c r="E26" s="13">
        <f t="shared" si="6"/>
        <v>4987.5</v>
      </c>
      <c r="F26" s="13">
        <f t="shared" si="6"/>
        <v>6337.5</v>
      </c>
      <c r="G26" s="13">
        <f t="shared" si="6"/>
        <v>7837.5</v>
      </c>
      <c r="H26" s="13">
        <f t="shared" si="6"/>
        <v>9450</v>
      </c>
      <c r="I26" s="13">
        <f t="shared" si="6"/>
        <v>11175</v>
      </c>
      <c r="J26" s="13">
        <f t="shared" si="6"/>
        <v>13012.5</v>
      </c>
      <c r="K26" s="13">
        <f t="shared" si="6"/>
        <v>14887.5</v>
      </c>
      <c r="L26" s="13">
        <f t="shared" si="6"/>
        <v>16800</v>
      </c>
      <c r="M26" s="13">
        <f t="shared" si="6"/>
        <v>18787.5</v>
      </c>
      <c r="N26" s="14">
        <f>SUM(B26:M26)</f>
        <v>111075</v>
      </c>
    </row>
    <row r="27" spans="1:14" ht="15" customHeight="1" x14ac:dyDescent="0.3">
      <c r="A27" s="15" t="s">
        <v>34</v>
      </c>
      <c r="B27" s="12">
        <f t="shared" ref="B27:M27" si="7">B25+B26</f>
        <v>2265</v>
      </c>
      <c r="C27" s="12">
        <f t="shared" si="7"/>
        <v>3750</v>
      </c>
      <c r="D27" s="12">
        <f t="shared" si="7"/>
        <v>5145</v>
      </c>
      <c r="E27" s="12">
        <f t="shared" si="7"/>
        <v>6585</v>
      </c>
      <c r="F27" s="12">
        <f t="shared" si="7"/>
        <v>8205</v>
      </c>
      <c r="G27" s="12">
        <f t="shared" si="7"/>
        <v>10005</v>
      </c>
      <c r="H27" s="12">
        <f t="shared" si="7"/>
        <v>11940</v>
      </c>
      <c r="I27" s="12">
        <f t="shared" si="7"/>
        <v>14010</v>
      </c>
      <c r="J27" s="12">
        <f t="shared" si="7"/>
        <v>16215</v>
      </c>
      <c r="K27" s="12">
        <f t="shared" si="7"/>
        <v>18465</v>
      </c>
      <c r="L27" s="12">
        <f t="shared" si="7"/>
        <v>20760</v>
      </c>
      <c r="M27" s="12">
        <f t="shared" si="7"/>
        <v>23145</v>
      </c>
      <c r="N27" s="12">
        <f>SUM(B27:M27)</f>
        <v>140490</v>
      </c>
    </row>
    <row r="29" spans="1:14" ht="15" customHeight="1" x14ac:dyDescent="0.3">
      <c r="A29" s="15" t="s">
        <v>35</v>
      </c>
      <c r="B29" s="12">
        <f t="shared" ref="B29:M29" si="8">B22-B27</f>
        <v>3285</v>
      </c>
      <c r="C29" s="12">
        <f t="shared" si="8"/>
        <v>6750</v>
      </c>
      <c r="D29" s="12">
        <f t="shared" si="8"/>
        <v>10005</v>
      </c>
      <c r="E29" s="12">
        <f t="shared" si="8"/>
        <v>13365</v>
      </c>
      <c r="F29" s="12">
        <f t="shared" si="8"/>
        <v>17145</v>
      </c>
      <c r="G29" s="12">
        <f t="shared" si="8"/>
        <v>21345</v>
      </c>
      <c r="H29" s="12">
        <f t="shared" si="8"/>
        <v>25860</v>
      </c>
      <c r="I29" s="12">
        <f t="shared" si="8"/>
        <v>30690</v>
      </c>
      <c r="J29" s="12">
        <f t="shared" si="8"/>
        <v>35835</v>
      </c>
      <c r="K29" s="12">
        <f t="shared" si="8"/>
        <v>41085</v>
      </c>
      <c r="L29" s="12">
        <f t="shared" si="8"/>
        <v>46440</v>
      </c>
      <c r="M29" s="12">
        <f t="shared" si="8"/>
        <v>52005</v>
      </c>
      <c r="N29" s="12">
        <f>SUM(B29:M29)</f>
        <v>303810</v>
      </c>
    </row>
    <row r="30" spans="1:14" ht="15" customHeight="1" x14ac:dyDescent="0.3">
      <c r="A30" s="1" t="s">
        <v>36</v>
      </c>
      <c r="B30" s="16">
        <f t="shared" ref="B30:N30" si="9">IF(B22=0,0,B29/B22)</f>
        <v>0.59189189189189184</v>
      </c>
      <c r="C30" s="16">
        <f t="shared" si="9"/>
        <v>0.6428571428571429</v>
      </c>
      <c r="D30" s="16">
        <f t="shared" si="9"/>
        <v>0.66039603960396043</v>
      </c>
      <c r="E30" s="16">
        <f t="shared" si="9"/>
        <v>0.66992481203007515</v>
      </c>
      <c r="F30" s="16">
        <f t="shared" si="9"/>
        <v>0.67633136094674551</v>
      </c>
      <c r="G30" s="16">
        <f t="shared" si="9"/>
        <v>0.68086124401913872</v>
      </c>
      <c r="H30" s="16">
        <f t="shared" si="9"/>
        <v>0.68412698412698414</v>
      </c>
      <c r="I30" s="16">
        <f t="shared" si="9"/>
        <v>0.68657718120805367</v>
      </c>
      <c r="J30" s="16">
        <f t="shared" si="9"/>
        <v>0.68847262247838614</v>
      </c>
      <c r="K30" s="16">
        <f t="shared" si="9"/>
        <v>0.68992443324937025</v>
      </c>
      <c r="L30" s="16">
        <f t="shared" si="9"/>
        <v>0.69107142857142856</v>
      </c>
      <c r="M30" s="16">
        <f t="shared" si="9"/>
        <v>0.69201596806387222</v>
      </c>
      <c r="N30" s="16">
        <f t="shared" si="9"/>
        <v>0.68379473328831875</v>
      </c>
    </row>
    <row r="32" spans="1:14" ht="15" customHeight="1" x14ac:dyDescent="0.3">
      <c r="A32" s="3" t="s">
        <v>37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5" customHeight="1" x14ac:dyDescent="0.3">
      <c r="A33" s="1" t="s">
        <v>38</v>
      </c>
      <c r="B33" s="6">
        <v>3000</v>
      </c>
      <c r="C33" s="6">
        <v>3000</v>
      </c>
      <c r="D33" s="6">
        <v>3000</v>
      </c>
      <c r="E33" s="6">
        <v>3000</v>
      </c>
      <c r="F33" s="6">
        <v>3000</v>
      </c>
      <c r="G33" s="6">
        <v>4500</v>
      </c>
      <c r="H33" s="6">
        <v>4500</v>
      </c>
      <c r="I33" s="6">
        <v>4500</v>
      </c>
      <c r="J33" s="6">
        <v>4500</v>
      </c>
      <c r="K33" s="6">
        <v>6000</v>
      </c>
      <c r="L33" s="6">
        <v>6000</v>
      </c>
      <c r="M33" s="6">
        <v>6000</v>
      </c>
      <c r="N33" s="14">
        <f>SUM(B33:M33)</f>
        <v>51000</v>
      </c>
    </row>
    <row r="34" spans="1:14" ht="15" customHeight="1" x14ac:dyDescent="0.3">
      <c r="A34" s="1" t="s">
        <v>39</v>
      </c>
      <c r="B34" s="6">
        <v>1500</v>
      </c>
      <c r="C34" s="6">
        <v>1500</v>
      </c>
      <c r="D34" s="6">
        <v>1500</v>
      </c>
      <c r="E34" s="6">
        <v>1500</v>
      </c>
      <c r="F34" s="6">
        <v>1500</v>
      </c>
      <c r="G34" s="6">
        <v>1500</v>
      </c>
      <c r="H34" s="6">
        <v>1500</v>
      </c>
      <c r="I34" s="6">
        <v>1500</v>
      </c>
      <c r="J34" s="6">
        <v>1500</v>
      </c>
      <c r="K34" s="6">
        <v>1500</v>
      </c>
      <c r="L34" s="6">
        <v>1500</v>
      </c>
      <c r="M34" s="6">
        <v>1500</v>
      </c>
      <c r="N34" s="14">
        <f>SUM(B34:M34)</f>
        <v>18000</v>
      </c>
    </row>
    <row r="35" spans="1:14" ht="15" customHeight="1" x14ac:dyDescent="0.3">
      <c r="A35" s="1" t="s">
        <v>40</v>
      </c>
      <c r="B35" s="13">
        <f t="shared" ref="B35:M35" si="10">B12*B6</f>
        <v>2000</v>
      </c>
      <c r="C35" s="13">
        <f t="shared" si="10"/>
        <v>0</v>
      </c>
      <c r="D35" s="13">
        <f t="shared" si="10"/>
        <v>0</v>
      </c>
      <c r="E35" s="13">
        <f t="shared" si="10"/>
        <v>0</v>
      </c>
      <c r="F35" s="13">
        <f t="shared" si="10"/>
        <v>0</v>
      </c>
      <c r="G35" s="13">
        <f t="shared" si="10"/>
        <v>1000</v>
      </c>
      <c r="H35" s="13">
        <f t="shared" si="10"/>
        <v>0</v>
      </c>
      <c r="I35" s="13">
        <f t="shared" si="10"/>
        <v>0</v>
      </c>
      <c r="J35" s="13">
        <f t="shared" si="10"/>
        <v>0</v>
      </c>
      <c r="K35" s="13">
        <f t="shared" si="10"/>
        <v>1000</v>
      </c>
      <c r="L35" s="13">
        <f t="shared" si="10"/>
        <v>0</v>
      </c>
      <c r="M35" s="13">
        <f t="shared" si="10"/>
        <v>0</v>
      </c>
      <c r="N35" s="14">
        <f>SUM(B35:M35)</f>
        <v>4000</v>
      </c>
    </row>
    <row r="36" spans="1:14" ht="15" customHeight="1" x14ac:dyDescent="0.3">
      <c r="A36" s="15" t="s">
        <v>41</v>
      </c>
      <c r="B36" s="12">
        <f t="shared" ref="B36:M36" si="11">B33+B34+B35</f>
        <v>6500</v>
      </c>
      <c r="C36" s="12">
        <f t="shared" si="11"/>
        <v>4500</v>
      </c>
      <c r="D36" s="12">
        <f t="shared" si="11"/>
        <v>4500</v>
      </c>
      <c r="E36" s="12">
        <f t="shared" si="11"/>
        <v>4500</v>
      </c>
      <c r="F36" s="12">
        <f t="shared" si="11"/>
        <v>4500</v>
      </c>
      <c r="G36" s="12">
        <f t="shared" si="11"/>
        <v>7000</v>
      </c>
      <c r="H36" s="12">
        <f t="shared" si="11"/>
        <v>6000</v>
      </c>
      <c r="I36" s="12">
        <f t="shared" si="11"/>
        <v>6000</v>
      </c>
      <c r="J36" s="12">
        <f t="shared" si="11"/>
        <v>6000</v>
      </c>
      <c r="K36" s="12">
        <f t="shared" si="11"/>
        <v>8500</v>
      </c>
      <c r="L36" s="12">
        <f t="shared" si="11"/>
        <v>7500</v>
      </c>
      <c r="M36" s="12">
        <f t="shared" si="11"/>
        <v>7500</v>
      </c>
      <c r="N36" s="12">
        <f>SUM(B36:M36)</f>
        <v>73000</v>
      </c>
    </row>
    <row r="38" spans="1:14" ht="15" customHeight="1" x14ac:dyDescent="0.3">
      <c r="A38" s="15" t="s">
        <v>42</v>
      </c>
      <c r="B38" s="12">
        <f t="shared" ref="B38:M38" si="12">B29-B36</f>
        <v>-3215</v>
      </c>
      <c r="C38" s="12">
        <f t="shared" si="12"/>
        <v>2250</v>
      </c>
      <c r="D38" s="12">
        <f t="shared" si="12"/>
        <v>5505</v>
      </c>
      <c r="E38" s="12">
        <f t="shared" si="12"/>
        <v>8865</v>
      </c>
      <c r="F38" s="12">
        <f t="shared" si="12"/>
        <v>12645</v>
      </c>
      <c r="G38" s="12">
        <f t="shared" si="12"/>
        <v>14345</v>
      </c>
      <c r="H38" s="12">
        <f t="shared" si="12"/>
        <v>19860</v>
      </c>
      <c r="I38" s="12">
        <f t="shared" si="12"/>
        <v>24690</v>
      </c>
      <c r="J38" s="12">
        <f t="shared" si="12"/>
        <v>29835</v>
      </c>
      <c r="K38" s="12">
        <f t="shared" si="12"/>
        <v>32585</v>
      </c>
      <c r="L38" s="12">
        <f t="shared" si="12"/>
        <v>38940</v>
      </c>
      <c r="M38" s="12">
        <f t="shared" si="12"/>
        <v>44505</v>
      </c>
      <c r="N38" s="12">
        <f>SUM(B38:M38)</f>
        <v>230810</v>
      </c>
    </row>
    <row r="39" spans="1:14" ht="15" customHeight="1" x14ac:dyDescent="0.3">
      <c r="A39" s="1" t="s">
        <v>43</v>
      </c>
      <c r="B39" s="16">
        <f t="shared" ref="B39:N39" si="13">IF(B22=0,0,B38/B22)</f>
        <v>-0.57927927927927925</v>
      </c>
      <c r="C39" s="16">
        <f t="shared" si="13"/>
        <v>0.21428571428571427</v>
      </c>
      <c r="D39" s="16">
        <f t="shared" si="13"/>
        <v>0.36336633663366336</v>
      </c>
      <c r="E39" s="16">
        <f t="shared" si="13"/>
        <v>0.44436090225563912</v>
      </c>
      <c r="F39" s="16">
        <f t="shared" si="13"/>
        <v>0.49881656804733726</v>
      </c>
      <c r="G39" s="16">
        <f t="shared" si="13"/>
        <v>0.45757575757575758</v>
      </c>
      <c r="H39" s="16">
        <f t="shared" si="13"/>
        <v>0.52539682539682542</v>
      </c>
      <c r="I39" s="16">
        <f t="shared" si="13"/>
        <v>0.55234899328859055</v>
      </c>
      <c r="J39" s="16">
        <f t="shared" si="13"/>
        <v>0.57319884726224779</v>
      </c>
      <c r="K39" s="16">
        <f t="shared" si="13"/>
        <v>0.54718723761544918</v>
      </c>
      <c r="L39" s="16">
        <f t="shared" si="13"/>
        <v>0.57946428571428577</v>
      </c>
      <c r="M39" s="16">
        <f t="shared" si="13"/>
        <v>0.59221556886227544</v>
      </c>
      <c r="N39" s="16">
        <f t="shared" si="13"/>
        <v>0.51949133468377218</v>
      </c>
    </row>
    <row r="41" spans="1:14" ht="15" customHeight="1" x14ac:dyDescent="0.3">
      <c r="A41" s="1" t="s">
        <v>44</v>
      </c>
      <c r="B41" s="13">
        <f t="shared" ref="B41:M41" si="14">IF(B38&gt;0,B38*B5,0)</f>
        <v>0</v>
      </c>
      <c r="C41" s="13">
        <f t="shared" si="14"/>
        <v>337.5</v>
      </c>
      <c r="D41" s="13">
        <f t="shared" si="14"/>
        <v>825.75</v>
      </c>
      <c r="E41" s="13">
        <f t="shared" si="14"/>
        <v>1329.75</v>
      </c>
      <c r="F41" s="13">
        <f t="shared" si="14"/>
        <v>1896.75</v>
      </c>
      <c r="G41" s="13">
        <f t="shared" si="14"/>
        <v>2151.75</v>
      </c>
      <c r="H41" s="13">
        <f t="shared" si="14"/>
        <v>2979</v>
      </c>
      <c r="I41" s="13">
        <f t="shared" si="14"/>
        <v>3703.5</v>
      </c>
      <c r="J41" s="13">
        <f t="shared" si="14"/>
        <v>4475.25</v>
      </c>
      <c r="K41" s="13">
        <f t="shared" si="14"/>
        <v>4887.75</v>
      </c>
      <c r="L41" s="13">
        <f t="shared" si="14"/>
        <v>5841</v>
      </c>
      <c r="M41" s="13">
        <f t="shared" si="14"/>
        <v>6675.75</v>
      </c>
      <c r="N41" s="14">
        <f>SUM(B41:M41)</f>
        <v>35103.75</v>
      </c>
    </row>
    <row r="42" spans="1:14" ht="15" customHeight="1" x14ac:dyDescent="0.3">
      <c r="A42" s="15" t="s">
        <v>45</v>
      </c>
      <c r="B42" s="12">
        <f t="shared" ref="B42:M42" si="15">B38-B41</f>
        <v>-3215</v>
      </c>
      <c r="C42" s="12">
        <f t="shared" si="15"/>
        <v>1912.5</v>
      </c>
      <c r="D42" s="12">
        <f t="shared" si="15"/>
        <v>4679.25</v>
      </c>
      <c r="E42" s="12">
        <f t="shared" si="15"/>
        <v>7535.25</v>
      </c>
      <c r="F42" s="12">
        <f t="shared" si="15"/>
        <v>10748.25</v>
      </c>
      <c r="G42" s="12">
        <f t="shared" si="15"/>
        <v>12193.25</v>
      </c>
      <c r="H42" s="12">
        <f t="shared" si="15"/>
        <v>16881</v>
      </c>
      <c r="I42" s="12">
        <f t="shared" si="15"/>
        <v>20986.5</v>
      </c>
      <c r="J42" s="12">
        <f t="shared" si="15"/>
        <v>25359.75</v>
      </c>
      <c r="K42" s="12">
        <f t="shared" si="15"/>
        <v>27697.25</v>
      </c>
      <c r="L42" s="12">
        <f t="shared" si="15"/>
        <v>33099</v>
      </c>
      <c r="M42" s="12">
        <f t="shared" si="15"/>
        <v>37829.25</v>
      </c>
      <c r="N42" s="12">
        <f>SUM(B42:M42)</f>
        <v>195706.25</v>
      </c>
    </row>
    <row r="44" spans="1:14" ht="15" customHeight="1" x14ac:dyDescent="0.3">
      <c r="A44" s="3" t="s">
        <v>46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5" customHeight="1" x14ac:dyDescent="0.3">
      <c r="A45" s="1" t="s">
        <v>47</v>
      </c>
      <c r="B45" s="13">
        <f>B22</f>
        <v>5550</v>
      </c>
      <c r="C45" s="13">
        <f t="shared" ref="C45:M45" si="16">B45+C22</f>
        <v>16050</v>
      </c>
      <c r="D45" s="13">
        <f t="shared" si="16"/>
        <v>31200</v>
      </c>
      <c r="E45" s="13">
        <f t="shared" si="16"/>
        <v>51150</v>
      </c>
      <c r="F45" s="13">
        <f t="shared" si="16"/>
        <v>76500</v>
      </c>
      <c r="G45" s="13">
        <f t="shared" si="16"/>
        <v>107850</v>
      </c>
      <c r="H45" s="13">
        <f t="shared" si="16"/>
        <v>145650</v>
      </c>
      <c r="I45" s="13">
        <f t="shared" si="16"/>
        <v>190350</v>
      </c>
      <c r="J45" s="13">
        <f t="shared" si="16"/>
        <v>242400</v>
      </c>
      <c r="K45" s="13">
        <f t="shared" si="16"/>
        <v>301950</v>
      </c>
      <c r="L45" s="13">
        <f t="shared" si="16"/>
        <v>369150</v>
      </c>
      <c r="M45" s="13">
        <f t="shared" si="16"/>
        <v>444300</v>
      </c>
      <c r="N45" s="14">
        <f>M45</f>
        <v>444300</v>
      </c>
    </row>
    <row r="46" spans="1:14" ht="15" customHeight="1" x14ac:dyDescent="0.3">
      <c r="A46" s="1" t="s">
        <v>48</v>
      </c>
      <c r="B46" s="13">
        <f>B42</f>
        <v>-3215</v>
      </c>
      <c r="C46" s="13">
        <f t="shared" ref="C46:M46" si="17">B46+C42</f>
        <v>-1302.5</v>
      </c>
      <c r="D46" s="13">
        <f t="shared" si="17"/>
        <v>3376.75</v>
      </c>
      <c r="E46" s="13">
        <f t="shared" si="17"/>
        <v>10912</v>
      </c>
      <c r="F46" s="13">
        <f t="shared" si="17"/>
        <v>21660.25</v>
      </c>
      <c r="G46" s="13">
        <f t="shared" si="17"/>
        <v>33853.5</v>
      </c>
      <c r="H46" s="13">
        <f t="shared" si="17"/>
        <v>50734.5</v>
      </c>
      <c r="I46" s="13">
        <f t="shared" si="17"/>
        <v>71721</v>
      </c>
      <c r="J46" s="13">
        <f t="shared" si="17"/>
        <v>97080.75</v>
      </c>
      <c r="K46" s="13">
        <f t="shared" si="17"/>
        <v>124778</v>
      </c>
      <c r="L46" s="13">
        <f t="shared" si="17"/>
        <v>157877</v>
      </c>
      <c r="M46" s="13">
        <f t="shared" si="17"/>
        <v>195706.25</v>
      </c>
      <c r="N46" s="14">
        <f>M46</f>
        <v>195706.25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9" sqref="C19"/>
    </sheetView>
  </sheetViews>
  <sheetFormatPr defaultColWidth="8.6640625" defaultRowHeight="14.4" x14ac:dyDescent="0.3"/>
  <cols>
    <col min="1" max="1" width="18" style="1" customWidth="1"/>
    <col min="2" max="14" width="12" style="1" customWidth="1"/>
  </cols>
  <sheetData>
    <row r="1" spans="1:14" ht="15" customHeight="1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" customHeight="1" x14ac:dyDescent="0.3">
      <c r="A2" s="3" t="s">
        <v>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 customHeight="1" x14ac:dyDescent="0.3">
      <c r="A3" s="1" t="s">
        <v>24</v>
      </c>
      <c r="B3" s="17">
        <f>'Monthly P&amp;L'!B15</f>
        <v>10</v>
      </c>
      <c r="C3" s="17">
        <f>'Monthly P&amp;L'!C15</f>
        <v>27</v>
      </c>
      <c r="D3" s="17">
        <f>'Monthly P&amp;L'!D15</f>
        <v>43</v>
      </c>
      <c r="E3" s="17">
        <f>'Monthly P&amp;L'!E15</f>
        <v>58</v>
      </c>
      <c r="F3" s="17">
        <f>'Monthly P&amp;L'!F15</f>
        <v>75</v>
      </c>
      <c r="G3" s="17">
        <f>'Monthly P&amp;L'!G15</f>
        <v>94</v>
      </c>
      <c r="H3" s="17">
        <f>'Monthly P&amp;L'!H15</f>
        <v>115</v>
      </c>
      <c r="I3" s="17">
        <f>'Monthly P&amp;L'!I15</f>
        <v>137</v>
      </c>
      <c r="J3" s="17">
        <f>'Monthly P&amp;L'!J15</f>
        <v>161</v>
      </c>
      <c r="K3" s="17">
        <f>'Monthly P&amp;L'!K15</f>
        <v>186</v>
      </c>
      <c r="L3" s="17">
        <f>'Monthly P&amp;L'!L15</f>
        <v>211</v>
      </c>
      <c r="M3" s="17">
        <f>'Monthly P&amp;L'!M15</f>
        <v>237</v>
      </c>
    </row>
    <row r="4" spans="1:14" ht="15" customHeight="1" x14ac:dyDescent="0.3">
      <c r="A4" s="1" t="s">
        <v>25</v>
      </c>
      <c r="B4" s="17">
        <f>'Monthly P&amp;L'!B16</f>
        <v>18</v>
      </c>
      <c r="C4" s="17">
        <f>'Monthly P&amp;L'!C16</f>
        <v>18</v>
      </c>
      <c r="D4" s="17">
        <f>'Monthly P&amp;L'!D16</f>
        <v>18</v>
      </c>
      <c r="E4" s="17">
        <f>'Monthly P&amp;L'!E16</f>
        <v>21</v>
      </c>
      <c r="F4" s="17">
        <f>'Monthly P&amp;L'!F16</f>
        <v>24</v>
      </c>
      <c r="G4" s="17">
        <f>'Monthly P&amp;L'!G16</f>
        <v>27</v>
      </c>
      <c r="H4" s="17">
        <f>'Monthly P&amp;L'!H16</f>
        <v>30</v>
      </c>
      <c r="I4" s="17">
        <f>'Monthly P&amp;L'!I16</f>
        <v>33</v>
      </c>
      <c r="J4" s="17">
        <f>'Monthly P&amp;L'!J16</f>
        <v>36</v>
      </c>
      <c r="K4" s="17">
        <f>'Monthly P&amp;L'!K16</f>
        <v>37</v>
      </c>
      <c r="L4" s="17">
        <f>'Monthly P&amp;L'!L16</f>
        <v>40</v>
      </c>
      <c r="M4" s="17">
        <f>'Monthly P&amp;L'!M16</f>
        <v>43</v>
      </c>
      <c r="N4" s="17">
        <f>SUM(B4:M4)</f>
        <v>345</v>
      </c>
    </row>
    <row r="5" spans="1:14" ht="15" customHeight="1" x14ac:dyDescent="0.3">
      <c r="A5" s="1" t="s">
        <v>26</v>
      </c>
      <c r="B5" s="17">
        <f>'Monthly P&amp;L'!B17</f>
        <v>1</v>
      </c>
      <c r="C5" s="17">
        <f>'Monthly P&amp;L'!C17</f>
        <v>2</v>
      </c>
      <c r="D5" s="17">
        <f>'Monthly P&amp;L'!D17</f>
        <v>3</v>
      </c>
      <c r="E5" s="17">
        <f>'Monthly P&amp;L'!E17</f>
        <v>4</v>
      </c>
      <c r="F5" s="17">
        <f>'Monthly P&amp;L'!F17</f>
        <v>5</v>
      </c>
      <c r="G5" s="17">
        <f>'Monthly P&amp;L'!G17</f>
        <v>6</v>
      </c>
      <c r="H5" s="17">
        <f>'Monthly P&amp;L'!H17</f>
        <v>8</v>
      </c>
      <c r="I5" s="17">
        <f>'Monthly P&amp;L'!I17</f>
        <v>9</v>
      </c>
      <c r="J5" s="17">
        <f>'Monthly P&amp;L'!J17</f>
        <v>11</v>
      </c>
      <c r="K5" s="17">
        <f>'Monthly P&amp;L'!K17</f>
        <v>12</v>
      </c>
      <c r="L5" s="17">
        <f>'Monthly P&amp;L'!L17</f>
        <v>14</v>
      </c>
      <c r="M5" s="17">
        <f>'Monthly P&amp;L'!M17</f>
        <v>16</v>
      </c>
      <c r="N5" s="17">
        <f>SUM(B5:M5)</f>
        <v>91</v>
      </c>
    </row>
    <row r="6" spans="1:14" ht="15" customHeight="1" x14ac:dyDescent="0.3">
      <c r="A6" s="1" t="s">
        <v>27</v>
      </c>
      <c r="B6" s="17">
        <f>'Monthly P&amp;L'!B18</f>
        <v>27</v>
      </c>
      <c r="C6" s="17">
        <f>'Monthly P&amp;L'!C18</f>
        <v>43</v>
      </c>
      <c r="D6" s="17">
        <f>'Monthly P&amp;L'!D18</f>
        <v>58</v>
      </c>
      <c r="E6" s="17">
        <f>'Monthly P&amp;L'!E18</f>
        <v>75</v>
      </c>
      <c r="F6" s="17">
        <f>'Monthly P&amp;L'!F18</f>
        <v>94</v>
      </c>
      <c r="G6" s="17">
        <f>'Monthly P&amp;L'!G18</f>
        <v>115</v>
      </c>
      <c r="H6" s="17">
        <f>'Monthly P&amp;L'!H18</f>
        <v>137</v>
      </c>
      <c r="I6" s="17">
        <f>'Monthly P&amp;L'!I18</f>
        <v>161</v>
      </c>
      <c r="J6" s="17">
        <f>'Monthly P&amp;L'!J18</f>
        <v>186</v>
      </c>
      <c r="K6" s="17">
        <f>'Monthly P&amp;L'!K18</f>
        <v>211</v>
      </c>
      <c r="L6" s="17">
        <f>'Monthly P&amp;L'!L18</f>
        <v>237</v>
      </c>
      <c r="M6" s="17">
        <f>'Monthly P&amp;L'!M18</f>
        <v>264</v>
      </c>
      <c r="N6" s="17">
        <f>M6</f>
        <v>264</v>
      </c>
    </row>
    <row r="7" spans="1:14" ht="15" customHeight="1" x14ac:dyDescent="0.3">
      <c r="A7" s="1" t="s">
        <v>50</v>
      </c>
      <c r="B7" s="17">
        <f t="shared" ref="B7:M7" si="0">B4-B5</f>
        <v>17</v>
      </c>
      <c r="C7" s="17">
        <f t="shared" si="0"/>
        <v>16</v>
      </c>
      <c r="D7" s="17">
        <f t="shared" si="0"/>
        <v>15</v>
      </c>
      <c r="E7" s="17">
        <f t="shared" si="0"/>
        <v>17</v>
      </c>
      <c r="F7" s="17">
        <f t="shared" si="0"/>
        <v>19</v>
      </c>
      <c r="G7" s="17">
        <f t="shared" si="0"/>
        <v>21</v>
      </c>
      <c r="H7" s="17">
        <f t="shared" si="0"/>
        <v>22</v>
      </c>
      <c r="I7" s="17">
        <f t="shared" si="0"/>
        <v>24</v>
      </c>
      <c r="J7" s="17">
        <f t="shared" si="0"/>
        <v>25</v>
      </c>
      <c r="K7" s="17">
        <f t="shared" si="0"/>
        <v>25</v>
      </c>
      <c r="L7" s="17">
        <f t="shared" si="0"/>
        <v>26</v>
      </c>
      <c r="M7" s="17">
        <f t="shared" si="0"/>
        <v>27</v>
      </c>
      <c r="N7" s="17">
        <f>SUM(B7:M7)</f>
        <v>254</v>
      </c>
    </row>
    <row r="8" spans="1:14" ht="15" customHeight="1" x14ac:dyDescent="0.3">
      <c r="A8" s="1" t="s">
        <v>51</v>
      </c>
      <c r="B8" s="1" t="s">
        <v>52</v>
      </c>
      <c r="C8" s="18">
        <f t="shared" ref="C8:M8" si="1">IF(B6=0,0,(C6-B6)/B6)</f>
        <v>0.59259259259259256</v>
      </c>
      <c r="D8" s="18">
        <f t="shared" si="1"/>
        <v>0.34883720930232559</v>
      </c>
      <c r="E8" s="18">
        <f t="shared" si="1"/>
        <v>0.29310344827586204</v>
      </c>
      <c r="F8" s="18">
        <f t="shared" si="1"/>
        <v>0.25333333333333335</v>
      </c>
      <c r="G8" s="18">
        <f t="shared" si="1"/>
        <v>0.22340425531914893</v>
      </c>
      <c r="H8" s="18">
        <f t="shared" si="1"/>
        <v>0.19130434782608696</v>
      </c>
      <c r="I8" s="18">
        <f t="shared" si="1"/>
        <v>0.17518248175182483</v>
      </c>
      <c r="J8" s="18">
        <f t="shared" si="1"/>
        <v>0.15527950310559005</v>
      </c>
      <c r="K8" s="18">
        <f t="shared" si="1"/>
        <v>0.13440860215053763</v>
      </c>
      <c r="L8" s="18">
        <f t="shared" si="1"/>
        <v>0.12322274881516587</v>
      </c>
      <c r="M8" s="18">
        <f t="shared" si="1"/>
        <v>0.11392405063291139</v>
      </c>
    </row>
    <row r="10" spans="1:14" ht="15" customHeight="1" x14ac:dyDescent="0.3">
      <c r="A10" s="3" t="s">
        <v>53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5" customHeight="1" x14ac:dyDescent="0.3">
      <c r="A11" s="1" t="s">
        <v>20</v>
      </c>
      <c r="B11" s="17">
        <f>'Monthly P&amp;L'!B10</f>
        <v>6</v>
      </c>
      <c r="C11" s="17">
        <f>'Monthly P&amp;L'!C10</f>
        <v>6</v>
      </c>
      <c r="D11" s="17">
        <f>'Monthly P&amp;L'!D10</f>
        <v>6</v>
      </c>
      <c r="E11" s="17">
        <f>'Monthly P&amp;L'!E10</f>
        <v>8</v>
      </c>
      <c r="F11" s="17">
        <f>'Monthly P&amp;L'!F10</f>
        <v>8</v>
      </c>
      <c r="G11" s="17">
        <f>'Monthly P&amp;L'!G10</f>
        <v>10</v>
      </c>
      <c r="H11" s="17">
        <f>'Monthly P&amp;L'!H10</f>
        <v>10</v>
      </c>
      <c r="I11" s="17">
        <f>'Monthly P&amp;L'!I10</f>
        <v>12</v>
      </c>
      <c r="J11" s="17">
        <f>'Monthly P&amp;L'!J10</f>
        <v>12</v>
      </c>
      <c r="K11" s="17">
        <f>'Monthly P&amp;L'!K10</f>
        <v>13</v>
      </c>
      <c r="L11" s="17">
        <f>'Monthly P&amp;L'!L10</f>
        <v>14</v>
      </c>
      <c r="M11" s="17">
        <f>'Monthly P&amp;L'!M10</f>
        <v>15</v>
      </c>
      <c r="N11" s="17">
        <f>M11</f>
        <v>15</v>
      </c>
    </row>
    <row r="12" spans="1:14" ht="15" customHeight="1" x14ac:dyDescent="0.3">
      <c r="A12" s="1" t="s">
        <v>54</v>
      </c>
      <c r="B12" s="17">
        <f>B11</f>
        <v>6</v>
      </c>
      <c r="C12" s="17">
        <f t="shared" ref="C12:M12" si="2">MAX(0,C11-B11)</f>
        <v>0</v>
      </c>
      <c r="D12" s="17">
        <f t="shared" si="2"/>
        <v>0</v>
      </c>
      <c r="E12" s="17">
        <f t="shared" si="2"/>
        <v>2</v>
      </c>
      <c r="F12" s="17">
        <f t="shared" si="2"/>
        <v>0</v>
      </c>
      <c r="G12" s="17">
        <f t="shared" si="2"/>
        <v>2</v>
      </c>
      <c r="H12" s="17">
        <f t="shared" si="2"/>
        <v>0</v>
      </c>
      <c r="I12" s="17">
        <f t="shared" si="2"/>
        <v>2</v>
      </c>
      <c r="J12" s="17">
        <f t="shared" si="2"/>
        <v>0</v>
      </c>
      <c r="K12" s="17">
        <f t="shared" si="2"/>
        <v>1</v>
      </c>
      <c r="L12" s="17">
        <f t="shared" si="2"/>
        <v>1</v>
      </c>
      <c r="M12" s="17">
        <f t="shared" si="2"/>
        <v>1</v>
      </c>
    </row>
    <row r="13" spans="1:14" ht="15" customHeight="1" x14ac:dyDescent="0.3">
      <c r="A13" s="1" t="s">
        <v>55</v>
      </c>
      <c r="B13" s="19">
        <f t="shared" ref="B13:M13" si="3">IF(B11=0,0,B4/B11)</f>
        <v>3</v>
      </c>
      <c r="C13" s="19">
        <f t="shared" si="3"/>
        <v>3</v>
      </c>
      <c r="D13" s="19">
        <f t="shared" si="3"/>
        <v>3</v>
      </c>
      <c r="E13" s="19">
        <f t="shared" si="3"/>
        <v>2.625</v>
      </c>
      <c r="F13" s="19">
        <f t="shared" si="3"/>
        <v>3</v>
      </c>
      <c r="G13" s="19">
        <f t="shared" si="3"/>
        <v>2.7</v>
      </c>
      <c r="H13" s="19">
        <f t="shared" si="3"/>
        <v>3</v>
      </c>
      <c r="I13" s="19">
        <f t="shared" si="3"/>
        <v>2.75</v>
      </c>
      <c r="J13" s="19">
        <f t="shared" si="3"/>
        <v>3</v>
      </c>
      <c r="K13" s="19">
        <f t="shared" si="3"/>
        <v>2.8461538461538463</v>
      </c>
      <c r="L13" s="19">
        <f t="shared" si="3"/>
        <v>2.8571428571428572</v>
      </c>
      <c r="M13" s="19">
        <f t="shared" si="3"/>
        <v>2.8666666666666667</v>
      </c>
    </row>
    <row r="15" spans="1:14" ht="15" customHeight="1" x14ac:dyDescent="0.3">
      <c r="A15" s="3" t="s">
        <v>56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5" customHeight="1" x14ac:dyDescent="0.3">
      <c r="A16" s="1" t="s">
        <v>57</v>
      </c>
      <c r="B16" s="18">
        <f t="shared" ref="B16:M16" si="4">IF(B3=0,0,B5/B3)</f>
        <v>0.1</v>
      </c>
      <c r="C16" s="18">
        <f t="shared" si="4"/>
        <v>7.407407407407407E-2</v>
      </c>
      <c r="D16" s="18">
        <f t="shared" si="4"/>
        <v>6.9767441860465115E-2</v>
      </c>
      <c r="E16" s="18">
        <f t="shared" si="4"/>
        <v>6.8965517241379309E-2</v>
      </c>
      <c r="F16" s="18">
        <f t="shared" si="4"/>
        <v>6.6666666666666666E-2</v>
      </c>
      <c r="G16" s="18">
        <f t="shared" si="4"/>
        <v>6.3829787234042548E-2</v>
      </c>
      <c r="H16" s="18">
        <f t="shared" si="4"/>
        <v>6.9565217391304349E-2</v>
      </c>
      <c r="I16" s="18">
        <f t="shared" si="4"/>
        <v>6.569343065693431E-2</v>
      </c>
      <c r="J16" s="18">
        <f t="shared" si="4"/>
        <v>6.8322981366459631E-2</v>
      </c>
      <c r="K16" s="18">
        <f t="shared" si="4"/>
        <v>6.4516129032258063E-2</v>
      </c>
      <c r="L16" s="18">
        <f t="shared" si="4"/>
        <v>6.6350710900473939E-2</v>
      </c>
      <c r="M16" s="18">
        <f t="shared" si="4"/>
        <v>6.7510548523206745E-2</v>
      </c>
    </row>
    <row r="17" spans="1:2" ht="15" customHeight="1" x14ac:dyDescent="0.3">
      <c r="A17" s="1" t="s">
        <v>58</v>
      </c>
      <c r="B17" s="18">
        <f>AVERAGE(B16:M16)</f>
        <v>7.0438542078938723E-2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9" sqref="M19"/>
    </sheetView>
  </sheetViews>
  <sheetFormatPr defaultColWidth="8.6640625" defaultRowHeight="14.4" x14ac:dyDescent="0.3"/>
  <cols>
    <col min="1" max="1" width="20" style="1" customWidth="1"/>
    <col min="2" max="14" width="12" style="1" customWidth="1"/>
  </cols>
  <sheetData>
    <row r="1" spans="1:14" ht="15" customHeight="1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" customHeight="1" x14ac:dyDescent="0.3">
      <c r="A2" s="3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 customHeight="1" x14ac:dyDescent="0.3">
      <c r="A3" s="1" t="s">
        <v>20</v>
      </c>
      <c r="B3" s="17">
        <f>'Monthly P&amp;L'!B10</f>
        <v>6</v>
      </c>
      <c r="C3" s="17">
        <f>'Monthly P&amp;L'!C10</f>
        <v>6</v>
      </c>
      <c r="D3" s="17">
        <f>'Monthly P&amp;L'!D10</f>
        <v>6</v>
      </c>
      <c r="E3" s="17">
        <f>'Monthly P&amp;L'!E10</f>
        <v>8</v>
      </c>
      <c r="F3" s="17">
        <f>'Monthly P&amp;L'!F10</f>
        <v>8</v>
      </c>
      <c r="G3" s="17">
        <f>'Monthly P&amp;L'!G10</f>
        <v>10</v>
      </c>
      <c r="H3" s="17">
        <f>'Monthly P&amp;L'!H10</f>
        <v>10</v>
      </c>
      <c r="I3" s="17">
        <f>'Monthly P&amp;L'!I10</f>
        <v>12</v>
      </c>
      <c r="J3" s="17">
        <f>'Monthly P&amp;L'!J10</f>
        <v>12</v>
      </c>
      <c r="K3" s="17">
        <f>'Monthly P&amp;L'!K10</f>
        <v>13</v>
      </c>
      <c r="L3" s="17">
        <f>'Monthly P&amp;L'!L10</f>
        <v>14</v>
      </c>
      <c r="M3" s="17">
        <f>'Monthly P&amp;L'!M10</f>
        <v>15</v>
      </c>
      <c r="N3" s="17">
        <f>M3</f>
        <v>15</v>
      </c>
    </row>
    <row r="4" spans="1:14" ht="15" customHeight="1" x14ac:dyDescent="0.3">
      <c r="A4" s="1" t="s">
        <v>21</v>
      </c>
      <c r="B4" s="17">
        <f>'Monthly P&amp;L'!B11</f>
        <v>2</v>
      </c>
      <c r="C4" s="17">
        <f>'Monthly P&amp;L'!C11</f>
        <v>2</v>
      </c>
      <c r="D4" s="17">
        <f>'Monthly P&amp;L'!D11</f>
        <v>2</v>
      </c>
      <c r="E4" s="17">
        <f>'Monthly P&amp;L'!E11</f>
        <v>2</v>
      </c>
      <c r="F4" s="17">
        <f>'Monthly P&amp;L'!F11</f>
        <v>2</v>
      </c>
      <c r="G4" s="17">
        <f>'Monthly P&amp;L'!G11</f>
        <v>3</v>
      </c>
      <c r="H4" s="17">
        <f>'Monthly P&amp;L'!H11</f>
        <v>3</v>
      </c>
      <c r="I4" s="17">
        <f>'Monthly P&amp;L'!I11</f>
        <v>3</v>
      </c>
      <c r="J4" s="17">
        <f>'Monthly P&amp;L'!J11</f>
        <v>3</v>
      </c>
      <c r="K4" s="17">
        <f>'Monthly P&amp;L'!K11</f>
        <v>4</v>
      </c>
      <c r="L4" s="17">
        <f>'Monthly P&amp;L'!L11</f>
        <v>4</v>
      </c>
      <c r="M4" s="17">
        <f>'Monthly P&amp;L'!M11</f>
        <v>4</v>
      </c>
      <c r="N4" s="17">
        <f>M4</f>
        <v>4</v>
      </c>
    </row>
    <row r="5" spans="1:14" ht="15" customHeight="1" x14ac:dyDescent="0.3">
      <c r="A5" s="1" t="s">
        <v>59</v>
      </c>
      <c r="B5" s="17">
        <f t="shared" ref="B5:M5" si="0">B3+B4</f>
        <v>8</v>
      </c>
      <c r="C5" s="17">
        <f t="shared" si="0"/>
        <v>8</v>
      </c>
      <c r="D5" s="17">
        <f t="shared" si="0"/>
        <v>8</v>
      </c>
      <c r="E5" s="17">
        <f t="shared" si="0"/>
        <v>10</v>
      </c>
      <c r="F5" s="17">
        <f t="shared" si="0"/>
        <v>10</v>
      </c>
      <c r="G5" s="17">
        <f t="shared" si="0"/>
        <v>13</v>
      </c>
      <c r="H5" s="17">
        <f t="shared" si="0"/>
        <v>13</v>
      </c>
      <c r="I5" s="17">
        <f t="shared" si="0"/>
        <v>15</v>
      </c>
      <c r="J5" s="17">
        <f t="shared" si="0"/>
        <v>15</v>
      </c>
      <c r="K5" s="17">
        <f t="shared" si="0"/>
        <v>17</v>
      </c>
      <c r="L5" s="17">
        <f t="shared" si="0"/>
        <v>18</v>
      </c>
      <c r="M5" s="17">
        <f t="shared" si="0"/>
        <v>19</v>
      </c>
      <c r="N5" s="17">
        <f>M5</f>
        <v>19</v>
      </c>
    </row>
    <row r="7" spans="1:14" ht="15" customHeight="1" x14ac:dyDescent="0.3">
      <c r="A7" s="3" t="s">
        <v>60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5" customHeight="1" x14ac:dyDescent="0.3">
      <c r="A8" s="1" t="s">
        <v>61</v>
      </c>
      <c r="B8" s="20">
        <f>'Monthly P&amp;L'!B33</f>
        <v>3000</v>
      </c>
      <c r="C8" s="20">
        <f>'Monthly P&amp;L'!C33</f>
        <v>3000</v>
      </c>
      <c r="D8" s="20">
        <f>'Monthly P&amp;L'!D33</f>
        <v>3000</v>
      </c>
      <c r="E8" s="20">
        <f>'Monthly P&amp;L'!E33</f>
        <v>3000</v>
      </c>
      <c r="F8" s="20">
        <f>'Monthly P&amp;L'!F33</f>
        <v>3000</v>
      </c>
      <c r="G8" s="20">
        <f>'Monthly P&amp;L'!G33</f>
        <v>4500</v>
      </c>
      <c r="H8" s="20">
        <f>'Monthly P&amp;L'!H33</f>
        <v>4500</v>
      </c>
      <c r="I8" s="20">
        <f>'Monthly P&amp;L'!I33</f>
        <v>4500</v>
      </c>
      <c r="J8" s="20">
        <f>'Monthly P&amp;L'!J33</f>
        <v>4500</v>
      </c>
      <c r="K8" s="20">
        <f>'Monthly P&amp;L'!K33</f>
        <v>6000</v>
      </c>
      <c r="L8" s="20">
        <f>'Monthly P&amp;L'!L33</f>
        <v>6000</v>
      </c>
      <c r="M8" s="20">
        <f>'Monthly P&amp;L'!M33</f>
        <v>6000</v>
      </c>
      <c r="N8" s="20">
        <f>SUM(B8:M8)</f>
        <v>51000</v>
      </c>
    </row>
    <row r="9" spans="1:14" ht="15" customHeight="1" x14ac:dyDescent="0.3">
      <c r="A9" s="1" t="s">
        <v>39</v>
      </c>
      <c r="B9" s="20">
        <f>'Monthly P&amp;L'!B34</f>
        <v>1500</v>
      </c>
      <c r="C9" s="20">
        <f>'Monthly P&amp;L'!C34</f>
        <v>1500</v>
      </c>
      <c r="D9" s="20">
        <f>'Monthly P&amp;L'!D34</f>
        <v>1500</v>
      </c>
      <c r="E9" s="20">
        <f>'Monthly P&amp;L'!E34</f>
        <v>1500</v>
      </c>
      <c r="F9" s="20">
        <f>'Monthly P&amp;L'!F34</f>
        <v>1500</v>
      </c>
      <c r="G9" s="20">
        <f>'Monthly P&amp;L'!G34</f>
        <v>1500</v>
      </c>
      <c r="H9" s="20">
        <f>'Monthly P&amp;L'!H34</f>
        <v>1500</v>
      </c>
      <c r="I9" s="20">
        <f>'Monthly P&amp;L'!I34</f>
        <v>1500</v>
      </c>
      <c r="J9" s="20">
        <f>'Monthly P&amp;L'!J34</f>
        <v>1500</v>
      </c>
      <c r="K9" s="20">
        <f>'Monthly P&amp;L'!K34</f>
        <v>1500</v>
      </c>
      <c r="L9" s="20">
        <f>'Monthly P&amp;L'!L34</f>
        <v>1500</v>
      </c>
      <c r="M9" s="20">
        <f>'Monthly P&amp;L'!M34</f>
        <v>1500</v>
      </c>
      <c r="N9" s="20">
        <f>SUM(B9:M9)</f>
        <v>18000</v>
      </c>
    </row>
    <row r="10" spans="1:14" ht="15" customHeight="1" x14ac:dyDescent="0.3">
      <c r="A10" s="1" t="s">
        <v>40</v>
      </c>
      <c r="B10" s="20">
        <f>'Monthly P&amp;L'!B35</f>
        <v>2000</v>
      </c>
      <c r="C10" s="20">
        <f>'Monthly P&amp;L'!C35</f>
        <v>0</v>
      </c>
      <c r="D10" s="20">
        <f>'Monthly P&amp;L'!D35</f>
        <v>0</v>
      </c>
      <c r="E10" s="20">
        <f>'Monthly P&amp;L'!E35</f>
        <v>0</v>
      </c>
      <c r="F10" s="20">
        <f>'Monthly P&amp;L'!F35</f>
        <v>0</v>
      </c>
      <c r="G10" s="20">
        <f>'Monthly P&amp;L'!G35</f>
        <v>1000</v>
      </c>
      <c r="H10" s="20">
        <f>'Monthly P&amp;L'!H35</f>
        <v>0</v>
      </c>
      <c r="I10" s="20">
        <f>'Monthly P&amp;L'!I35</f>
        <v>0</v>
      </c>
      <c r="J10" s="20">
        <f>'Monthly P&amp;L'!J35</f>
        <v>0</v>
      </c>
      <c r="K10" s="20">
        <f>'Monthly P&amp;L'!K35</f>
        <v>1000</v>
      </c>
      <c r="L10" s="20">
        <f>'Monthly P&amp;L'!L35</f>
        <v>0</v>
      </c>
      <c r="M10" s="20">
        <f>'Monthly P&amp;L'!M35</f>
        <v>0</v>
      </c>
      <c r="N10" s="20">
        <f>SUM(B10:M10)</f>
        <v>4000</v>
      </c>
    </row>
    <row r="11" spans="1:14" ht="15" customHeight="1" x14ac:dyDescent="0.3">
      <c r="A11" s="1" t="s">
        <v>62</v>
      </c>
      <c r="B11" s="20">
        <f t="shared" ref="B11:M11" si="1">B8+B9+B10</f>
        <v>6500</v>
      </c>
      <c r="C11" s="20">
        <f t="shared" si="1"/>
        <v>4500</v>
      </c>
      <c r="D11" s="20">
        <f t="shared" si="1"/>
        <v>4500</v>
      </c>
      <c r="E11" s="20">
        <f t="shared" si="1"/>
        <v>4500</v>
      </c>
      <c r="F11" s="20">
        <f t="shared" si="1"/>
        <v>4500</v>
      </c>
      <c r="G11" s="20">
        <f t="shared" si="1"/>
        <v>7000</v>
      </c>
      <c r="H11" s="20">
        <f t="shared" si="1"/>
        <v>6000</v>
      </c>
      <c r="I11" s="20">
        <f t="shared" si="1"/>
        <v>6000</v>
      </c>
      <c r="J11" s="20">
        <f t="shared" si="1"/>
        <v>6000</v>
      </c>
      <c r="K11" s="20">
        <f t="shared" si="1"/>
        <v>8500</v>
      </c>
      <c r="L11" s="20">
        <f t="shared" si="1"/>
        <v>7500</v>
      </c>
      <c r="M11" s="20">
        <f t="shared" si="1"/>
        <v>7500</v>
      </c>
      <c r="N11" s="20">
        <f>SUM(B11:M11)</f>
        <v>73000</v>
      </c>
    </row>
    <row r="13" spans="1:14" ht="15" customHeight="1" x14ac:dyDescent="0.3">
      <c r="A13" s="3" t="s">
        <v>63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5" customHeight="1" x14ac:dyDescent="0.3">
      <c r="A14" s="1" t="s">
        <v>64</v>
      </c>
      <c r="B14" s="20">
        <f>'Monthly P&amp;L'!B25</f>
        <v>877.5</v>
      </c>
      <c r="C14" s="20">
        <f>'Monthly P&amp;L'!C25</f>
        <v>1125</v>
      </c>
      <c r="D14" s="20">
        <f>'Monthly P&amp;L'!D25</f>
        <v>1357.5</v>
      </c>
      <c r="E14" s="20">
        <f>'Monthly P&amp;L'!E25</f>
        <v>1597.5</v>
      </c>
      <c r="F14" s="20">
        <f>'Monthly P&amp;L'!F25</f>
        <v>1867.5</v>
      </c>
      <c r="G14" s="20">
        <f>'Monthly P&amp;L'!G25</f>
        <v>2167.5</v>
      </c>
      <c r="H14" s="20">
        <f>'Monthly P&amp;L'!H25</f>
        <v>2490</v>
      </c>
      <c r="I14" s="20">
        <f>'Monthly P&amp;L'!I25</f>
        <v>2835</v>
      </c>
      <c r="J14" s="20">
        <f>'Monthly P&amp;L'!J25</f>
        <v>3202.5</v>
      </c>
      <c r="K14" s="20">
        <f>'Monthly P&amp;L'!K25</f>
        <v>3577.5</v>
      </c>
      <c r="L14" s="20">
        <f>'Monthly P&amp;L'!L25</f>
        <v>3960</v>
      </c>
      <c r="M14" s="20">
        <f>'Monthly P&amp;L'!M25</f>
        <v>4357.5</v>
      </c>
      <c r="N14" s="20">
        <f>SUM(B14:M14)</f>
        <v>29415</v>
      </c>
    </row>
    <row r="15" spans="1:14" ht="15" customHeight="1" x14ac:dyDescent="0.3">
      <c r="A15" s="1" t="s">
        <v>33</v>
      </c>
      <c r="B15" s="20">
        <f>'Monthly P&amp;L'!B26</f>
        <v>1387.5</v>
      </c>
      <c r="C15" s="20">
        <f>'Monthly P&amp;L'!C26</f>
        <v>2625</v>
      </c>
      <c r="D15" s="20">
        <f>'Monthly P&amp;L'!D26</f>
        <v>3787.5</v>
      </c>
      <c r="E15" s="20">
        <f>'Monthly P&amp;L'!E26</f>
        <v>4987.5</v>
      </c>
      <c r="F15" s="20">
        <f>'Monthly P&amp;L'!F26</f>
        <v>6337.5</v>
      </c>
      <c r="G15" s="20">
        <f>'Monthly P&amp;L'!G26</f>
        <v>7837.5</v>
      </c>
      <c r="H15" s="20">
        <f>'Monthly P&amp;L'!H26</f>
        <v>9450</v>
      </c>
      <c r="I15" s="20">
        <f>'Monthly P&amp;L'!I26</f>
        <v>11175</v>
      </c>
      <c r="J15" s="20">
        <f>'Monthly P&amp;L'!J26</f>
        <v>13012.5</v>
      </c>
      <c r="K15" s="20">
        <f>'Monthly P&amp;L'!K26</f>
        <v>14887.5</v>
      </c>
      <c r="L15" s="20">
        <f>'Monthly P&amp;L'!L26</f>
        <v>16800</v>
      </c>
      <c r="M15" s="20">
        <f>'Monthly P&amp;L'!M26</f>
        <v>18787.5</v>
      </c>
      <c r="N15" s="20">
        <f>SUM(B15:M15)</f>
        <v>111075</v>
      </c>
    </row>
    <row r="16" spans="1:14" ht="15" customHeight="1" x14ac:dyDescent="0.3">
      <c r="A16" s="1" t="s">
        <v>65</v>
      </c>
      <c r="B16" s="20">
        <f t="shared" ref="B16:M16" si="2">B14+B15</f>
        <v>2265</v>
      </c>
      <c r="C16" s="20">
        <f t="shared" si="2"/>
        <v>3750</v>
      </c>
      <c r="D16" s="20">
        <f t="shared" si="2"/>
        <v>5145</v>
      </c>
      <c r="E16" s="20">
        <f t="shared" si="2"/>
        <v>6585</v>
      </c>
      <c r="F16" s="20">
        <f t="shared" si="2"/>
        <v>8205</v>
      </c>
      <c r="G16" s="20">
        <f t="shared" si="2"/>
        <v>10005</v>
      </c>
      <c r="H16" s="20">
        <f t="shared" si="2"/>
        <v>11940</v>
      </c>
      <c r="I16" s="20">
        <f t="shared" si="2"/>
        <v>14010</v>
      </c>
      <c r="J16" s="20">
        <f t="shared" si="2"/>
        <v>16215</v>
      </c>
      <c r="K16" s="20">
        <f t="shared" si="2"/>
        <v>18465</v>
      </c>
      <c r="L16" s="20">
        <f t="shared" si="2"/>
        <v>20760</v>
      </c>
      <c r="M16" s="20">
        <f t="shared" si="2"/>
        <v>23145</v>
      </c>
      <c r="N16" s="20">
        <f>SUM(B16:M16)</f>
        <v>140490</v>
      </c>
    </row>
    <row r="18" spans="1:14" ht="15" customHeight="1" x14ac:dyDescent="0.3">
      <c r="A18" s="15" t="s">
        <v>66</v>
      </c>
      <c r="B18" s="21">
        <f t="shared" ref="B18:M18" si="3">B11+B16</f>
        <v>8765</v>
      </c>
      <c r="C18" s="21">
        <f t="shared" si="3"/>
        <v>8250</v>
      </c>
      <c r="D18" s="21">
        <f t="shared" si="3"/>
        <v>9645</v>
      </c>
      <c r="E18" s="21">
        <f t="shared" si="3"/>
        <v>11085</v>
      </c>
      <c r="F18" s="21">
        <f t="shared" si="3"/>
        <v>12705</v>
      </c>
      <c r="G18" s="21">
        <f t="shared" si="3"/>
        <v>17005</v>
      </c>
      <c r="H18" s="21">
        <f t="shared" si="3"/>
        <v>17940</v>
      </c>
      <c r="I18" s="21">
        <f t="shared" si="3"/>
        <v>20010</v>
      </c>
      <c r="J18" s="21">
        <f t="shared" si="3"/>
        <v>22215</v>
      </c>
      <c r="K18" s="21">
        <f t="shared" si="3"/>
        <v>26965</v>
      </c>
      <c r="L18" s="21">
        <f t="shared" si="3"/>
        <v>28260</v>
      </c>
      <c r="M18" s="21">
        <f t="shared" si="3"/>
        <v>30645</v>
      </c>
      <c r="N18" s="21">
        <f>SUM(B18:M18)</f>
        <v>213490</v>
      </c>
    </row>
    <row r="19" spans="1:14" ht="15" customHeight="1" x14ac:dyDescent="0.3">
      <c r="A19" s="1" t="s">
        <v>67</v>
      </c>
      <c r="B19" s="20">
        <f>IF('Monthly P&amp;L'!B18=0,0,B18/'Monthly P&amp;L'!B18)</f>
        <v>324.62962962962962</v>
      </c>
      <c r="C19" s="20">
        <f>IF('Monthly P&amp;L'!C18=0,0,C18/'Monthly P&amp;L'!C18)</f>
        <v>191.86046511627907</v>
      </c>
      <c r="D19" s="20">
        <f>IF('Monthly P&amp;L'!D18=0,0,D18/'Monthly P&amp;L'!D18)</f>
        <v>166.29310344827587</v>
      </c>
      <c r="E19" s="20">
        <f>IF('Monthly P&amp;L'!E18=0,0,E18/'Monthly P&amp;L'!E18)</f>
        <v>147.80000000000001</v>
      </c>
      <c r="F19" s="20">
        <f>IF('Monthly P&amp;L'!F18=0,0,F18/'Monthly P&amp;L'!F18)</f>
        <v>135.15957446808511</v>
      </c>
      <c r="G19" s="20">
        <f>IF('Monthly P&amp;L'!G18=0,0,G18/'Monthly P&amp;L'!G18)</f>
        <v>147.86956521739131</v>
      </c>
      <c r="H19" s="20">
        <f>IF('Monthly P&amp;L'!H18=0,0,H18/'Monthly P&amp;L'!H18)</f>
        <v>130.94890510948906</v>
      </c>
      <c r="I19" s="20">
        <f>IF('Monthly P&amp;L'!I18=0,0,I18/'Monthly P&amp;L'!I18)</f>
        <v>124.28571428571429</v>
      </c>
      <c r="J19" s="20">
        <f>IF('Monthly P&amp;L'!J18=0,0,J18/'Monthly P&amp;L'!J18)</f>
        <v>119.43548387096774</v>
      </c>
      <c r="K19" s="20">
        <f>IF('Monthly P&amp;L'!K18=0,0,K18/'Monthly P&amp;L'!K18)</f>
        <v>127.79620853080569</v>
      </c>
      <c r="L19" s="20">
        <f>IF('Monthly P&amp;L'!L18=0,0,L18/'Monthly P&amp;L'!L18)</f>
        <v>119.24050632911393</v>
      </c>
      <c r="M19" s="20">
        <f>IF('Monthly P&amp;L'!M18=0,0,M18/'Monthly P&amp;L'!M18)</f>
        <v>116.07954545454545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12" zoomScaleNormal="100" workbookViewId="0"/>
  </sheetViews>
  <sheetFormatPr defaultColWidth="8.6640625" defaultRowHeight="14.4" x14ac:dyDescent="0.3"/>
  <cols>
    <col min="1" max="1" width="35" style="1" customWidth="1"/>
    <col min="2" max="2" width="18" style="1" customWidth="1"/>
    <col min="3" max="3" width="40" style="1" customWidth="1"/>
  </cols>
  <sheetData>
    <row r="1" spans="1:3" ht="15" customHeight="1" x14ac:dyDescent="0.3">
      <c r="A1" s="22" t="s">
        <v>68</v>
      </c>
      <c r="B1" s="23"/>
      <c r="C1" s="23"/>
    </row>
    <row r="2" spans="1:3" ht="15" customHeight="1" x14ac:dyDescent="0.3">
      <c r="A2" s="3" t="s">
        <v>69</v>
      </c>
      <c r="B2" s="4"/>
      <c r="C2" s="4"/>
    </row>
    <row r="3" spans="1:3" ht="15" customHeight="1" x14ac:dyDescent="0.3">
      <c r="A3" s="3" t="s">
        <v>70</v>
      </c>
      <c r="B3" s="24">
        <v>300</v>
      </c>
      <c r="C3" s="4" t="s">
        <v>71</v>
      </c>
    </row>
    <row r="4" spans="1:3" ht="15" customHeight="1" x14ac:dyDescent="0.3">
      <c r="A4" s="1" t="s">
        <v>72</v>
      </c>
      <c r="B4" s="20">
        <f>-B3*0.25</f>
        <v>-75</v>
      </c>
      <c r="C4" s="1" t="s">
        <v>73</v>
      </c>
    </row>
    <row r="5" spans="1:3" ht="15" customHeight="1" x14ac:dyDescent="0.3">
      <c r="A5" s="1" t="s">
        <v>74</v>
      </c>
      <c r="B5" s="20">
        <f>B3+B4</f>
        <v>225</v>
      </c>
      <c r="C5" s="1" t="s">
        <v>75</v>
      </c>
    </row>
    <row r="6" spans="1:3" ht="15" customHeight="1" x14ac:dyDescent="0.3">
      <c r="A6" s="3" t="s">
        <v>76</v>
      </c>
      <c r="B6" s="4"/>
      <c r="C6" s="4"/>
    </row>
    <row r="7" spans="1:3" ht="15" customHeight="1" x14ac:dyDescent="0.3">
      <c r="A7" s="3" t="s">
        <v>77</v>
      </c>
      <c r="B7" s="25">
        <f>'Monthly P&amp;L'!B7*'Monthly P&amp;L'!B3</f>
        <v>15</v>
      </c>
      <c r="C7" s="4" t="s">
        <v>78</v>
      </c>
    </row>
    <row r="8" spans="1:3" ht="15" customHeight="1" x14ac:dyDescent="0.3">
      <c r="A8" s="1" t="s">
        <v>79</v>
      </c>
      <c r="B8" s="6">
        <v>600</v>
      </c>
      <c r="C8" s="1" t="s">
        <v>80</v>
      </c>
    </row>
    <row r="9" spans="1:3" ht="15" customHeight="1" x14ac:dyDescent="0.3">
      <c r="A9" s="1" t="s">
        <v>81</v>
      </c>
      <c r="B9" s="20">
        <f>B3*0.05</f>
        <v>15</v>
      </c>
      <c r="C9" s="1" t="s">
        <v>82</v>
      </c>
    </row>
    <row r="10" spans="1:3" ht="15" customHeight="1" x14ac:dyDescent="0.3">
      <c r="A10" s="1" t="s">
        <v>83</v>
      </c>
      <c r="B10" s="17">
        <f>'Monthly P&amp;L'!G19</f>
        <v>104.5</v>
      </c>
      <c r="C10" s="1" t="s">
        <v>84</v>
      </c>
    </row>
    <row r="11" spans="1:3" ht="15" customHeight="1" x14ac:dyDescent="0.3">
      <c r="A11" s="1" t="s">
        <v>85</v>
      </c>
      <c r="B11" s="20">
        <f>(B8/B10)+B9</f>
        <v>20.741626794258373</v>
      </c>
      <c r="C11" s="1" t="s">
        <v>86</v>
      </c>
    </row>
    <row r="12" spans="1:3" ht="15" customHeight="1" x14ac:dyDescent="0.3">
      <c r="A12" s="3" t="s">
        <v>87</v>
      </c>
      <c r="B12" s="25">
        <f>B5-B11</f>
        <v>204.25837320574163</v>
      </c>
      <c r="C12" s="4" t="s">
        <v>88</v>
      </c>
    </row>
    <row r="13" spans="1:3" ht="15" customHeight="1" x14ac:dyDescent="0.3">
      <c r="A13" s="1" t="s">
        <v>58</v>
      </c>
      <c r="B13" s="18">
        <f>'Client Growth'!B17</f>
        <v>7.0438542078938723E-2</v>
      </c>
      <c r="C13" s="1" t="s">
        <v>89</v>
      </c>
    </row>
    <row r="14" spans="1:3" ht="15" customHeight="1" x14ac:dyDescent="0.3">
      <c r="A14" s="3" t="s">
        <v>90</v>
      </c>
      <c r="B14" s="26">
        <f>IF(B13=0,24,1/B13)</f>
        <v>14.196773108667196</v>
      </c>
      <c r="C14" s="4" t="s">
        <v>91</v>
      </c>
    </row>
    <row r="15" spans="1:3" ht="15" customHeight="1" x14ac:dyDescent="0.3">
      <c r="A15" s="1" t="s">
        <v>92</v>
      </c>
      <c r="B15" s="5">
        <v>7.0000000000000007E-2</v>
      </c>
      <c r="C15" s="1" t="s">
        <v>93</v>
      </c>
    </row>
    <row r="16" spans="1:3" ht="15" customHeight="1" x14ac:dyDescent="0.3">
      <c r="A16" s="1" t="s">
        <v>94</v>
      </c>
      <c r="B16" s="19">
        <f>1/B15</f>
        <v>14.285714285714285</v>
      </c>
      <c r="C16" s="1" t="s">
        <v>95</v>
      </c>
    </row>
    <row r="17" spans="1:3" ht="15" customHeight="1" x14ac:dyDescent="0.3">
      <c r="A17" s="1" t="s">
        <v>96</v>
      </c>
      <c r="B17" s="20">
        <f>B3*B16</f>
        <v>4285.7142857142853</v>
      </c>
      <c r="C17" s="1" t="s">
        <v>97</v>
      </c>
    </row>
    <row r="18" spans="1:3" ht="15" customHeight="1" x14ac:dyDescent="0.3">
      <c r="A18" s="3" t="s">
        <v>98</v>
      </c>
      <c r="B18" s="25">
        <f>B5*B16</f>
        <v>3214.2857142857142</v>
      </c>
      <c r="C18" s="4" t="s">
        <v>99</v>
      </c>
    </row>
    <row r="19" spans="1:3" ht="15" customHeight="1" x14ac:dyDescent="0.3">
      <c r="A19" s="1" t="s">
        <v>100</v>
      </c>
      <c r="B19" s="20">
        <f>B12*B16</f>
        <v>2917.9767600820232</v>
      </c>
      <c r="C19" s="1" t="s">
        <v>101</v>
      </c>
    </row>
    <row r="20" spans="1:3" ht="15" customHeight="1" x14ac:dyDescent="0.3">
      <c r="A20" s="1" t="s">
        <v>102</v>
      </c>
      <c r="B20" s="20">
        <f>IF(B19=0,0,B16/B19)</f>
        <v>4.8957601311782617E-3</v>
      </c>
      <c r="C20" s="1" t="s">
        <v>103</v>
      </c>
    </row>
    <row r="21" spans="1:3" ht="15" customHeight="1" x14ac:dyDescent="0.3">
      <c r="A21" s="3" t="s">
        <v>104</v>
      </c>
      <c r="B21" s="26">
        <f>IF(B10=0,0,B19/B10)</f>
        <v>27.923222584516967</v>
      </c>
      <c r="C21" s="4" t="s">
        <v>105</v>
      </c>
    </row>
    <row r="22" spans="1:3" ht="15" customHeight="1" x14ac:dyDescent="0.3">
      <c r="A22" s="1" t="s">
        <v>106</v>
      </c>
      <c r="B22" s="20">
        <v>0</v>
      </c>
      <c r="C22" s="1" t="s">
        <v>107</v>
      </c>
    </row>
    <row r="23" spans="1:3" ht="15" customHeight="1" x14ac:dyDescent="0.3">
      <c r="A23" s="3" t="s">
        <v>108</v>
      </c>
      <c r="B23" s="25">
        <f>1000/345</f>
        <v>2.8985507246376812</v>
      </c>
      <c r="C23" s="4" t="s">
        <v>109</v>
      </c>
    </row>
    <row r="24" spans="1:3" ht="15" customHeight="1" x14ac:dyDescent="0.3">
      <c r="A24" s="1" t="s">
        <v>110</v>
      </c>
      <c r="B24" s="20">
        <f>B22+B23</f>
        <v>2.8985507246376812</v>
      </c>
      <c r="C24" s="1" t="s">
        <v>111</v>
      </c>
    </row>
    <row r="25" spans="1:3" ht="15" customHeight="1" x14ac:dyDescent="0.3">
      <c r="A25" s="1" t="s">
        <v>112</v>
      </c>
      <c r="B25" s="19">
        <f>IF(B24=0,0,B24/B12)</f>
        <v>1.419060907587902E-2</v>
      </c>
      <c r="C25" s="1" t="s">
        <v>113</v>
      </c>
    </row>
    <row r="26" spans="1:3" ht="15" customHeight="1" x14ac:dyDescent="0.3">
      <c r="A26" s="1" t="s">
        <v>114</v>
      </c>
      <c r="B26" s="19">
        <f>'Monthly P&amp;L'!B18</f>
        <v>27</v>
      </c>
    </row>
    <row r="27" spans="1:3" ht="15" customHeight="1" x14ac:dyDescent="0.3">
      <c r="A27" s="3" t="s">
        <v>115</v>
      </c>
      <c r="B27" s="4" t="str">
        <f>IF(B26&gt;=B25,"PROFITABLE","PRE-PROFIT")</f>
        <v>PROFITABLE</v>
      </c>
      <c r="C27" s="4"/>
    </row>
    <row r="28" spans="1:3" ht="15" customHeight="1" x14ac:dyDescent="0.3">
      <c r="A28" s="1" t="s">
        <v>116</v>
      </c>
      <c r="B28" s="18">
        <f>B12/B3</f>
        <v>0.68086124401913883</v>
      </c>
    </row>
    <row r="29" spans="1:3" ht="15" customHeight="1" x14ac:dyDescent="0.3">
      <c r="A29" s="3" t="s">
        <v>117</v>
      </c>
      <c r="B29" s="27">
        <f>B12/B5</f>
        <v>0.90781499202551841</v>
      </c>
      <c r="C29" s="4" t="s">
        <v>118</v>
      </c>
    </row>
    <row r="30" spans="1:3" ht="15" customHeight="1" x14ac:dyDescent="0.3">
      <c r="A30" s="1" t="s">
        <v>119</v>
      </c>
      <c r="B30" s="17">
        <f>('Monthly P&amp;L'!B33+'Monthly P&amp;L'!B34)/B12</f>
        <v>22.030920590302177</v>
      </c>
      <c r="C30" s="1" t="s">
        <v>120</v>
      </c>
    </row>
    <row r="31" spans="1:3" ht="15" customHeight="1" x14ac:dyDescent="0.3">
      <c r="A31" s="1" t="s">
        <v>121</v>
      </c>
      <c r="B31" s="20">
        <f>'Monthly P&amp;L'!N27+'Monthly P&amp;L'!N36</f>
        <v>213490</v>
      </c>
    </row>
    <row r="32" spans="1:3" ht="15" customHeight="1" x14ac:dyDescent="0.3">
      <c r="A32" s="28" t="s">
        <v>122</v>
      </c>
      <c r="B32" s="20">
        <f>'Monthly P&amp;L'!N42</f>
        <v>195706.25</v>
      </c>
    </row>
    <row r="33" spans="1:2" ht="15" customHeight="1" x14ac:dyDescent="0.3">
      <c r="A33" s="28" t="s">
        <v>123</v>
      </c>
      <c r="B33" s="20">
        <f>IF(B30=0,0,B32/B30)</f>
        <v>8883.2533891547064</v>
      </c>
    </row>
    <row r="34" spans="1:2" ht="15" customHeight="1" x14ac:dyDescent="0.3">
      <c r="A34" s="28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8" style="1" customWidth="1"/>
    <col min="2" max="14" width="12" style="1" customWidth="1"/>
  </cols>
  <sheetData>
    <row r="1" spans="1:14" ht="15" customHeight="1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" customHeight="1" x14ac:dyDescent="0.3">
      <c r="A2" s="3" t="s">
        <v>125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 customHeight="1" x14ac:dyDescent="0.3">
      <c r="A3" s="1" t="s">
        <v>126</v>
      </c>
      <c r="B3" s="6">
        <v>40000</v>
      </c>
      <c r="C3" s="20">
        <f t="shared" ref="C3:M3" si="0">B14</f>
        <v>36785</v>
      </c>
      <c r="D3" s="20">
        <f t="shared" si="0"/>
        <v>38697.5</v>
      </c>
      <c r="E3" s="20">
        <f t="shared" si="0"/>
        <v>43376.75</v>
      </c>
      <c r="F3" s="20">
        <f t="shared" si="0"/>
        <v>50912</v>
      </c>
      <c r="G3" s="20">
        <f t="shared" si="0"/>
        <v>61660.25</v>
      </c>
      <c r="H3" s="20">
        <f t="shared" si="0"/>
        <v>73853.5</v>
      </c>
      <c r="I3" s="20">
        <f t="shared" si="0"/>
        <v>90734.5</v>
      </c>
      <c r="J3" s="20">
        <f t="shared" si="0"/>
        <v>111721</v>
      </c>
      <c r="K3" s="20">
        <f t="shared" si="0"/>
        <v>137080.75</v>
      </c>
      <c r="L3" s="20">
        <f t="shared" si="0"/>
        <v>164778</v>
      </c>
      <c r="M3" s="20">
        <f t="shared" si="0"/>
        <v>197877</v>
      </c>
    </row>
    <row r="5" spans="1:14" ht="15" customHeight="1" x14ac:dyDescent="0.3">
      <c r="A5" s="1" t="s">
        <v>127</v>
      </c>
      <c r="B5" s="20">
        <f>'Monthly P&amp;L'!B22</f>
        <v>5550</v>
      </c>
      <c r="C5" s="20">
        <f>'Monthly P&amp;L'!C22</f>
        <v>10500</v>
      </c>
      <c r="D5" s="20">
        <f>'Monthly P&amp;L'!D22</f>
        <v>15150</v>
      </c>
      <c r="E5" s="20">
        <f>'Monthly P&amp;L'!E22</f>
        <v>19950</v>
      </c>
      <c r="F5" s="20">
        <f>'Monthly P&amp;L'!F22</f>
        <v>25350</v>
      </c>
      <c r="G5" s="20">
        <f>'Monthly P&amp;L'!G22</f>
        <v>31350</v>
      </c>
      <c r="H5" s="20">
        <f>'Monthly P&amp;L'!H22</f>
        <v>37800</v>
      </c>
      <c r="I5" s="20">
        <f>'Monthly P&amp;L'!I22</f>
        <v>44700</v>
      </c>
      <c r="J5" s="20">
        <f>'Monthly P&amp;L'!J22</f>
        <v>52050</v>
      </c>
      <c r="K5" s="20">
        <f>'Monthly P&amp;L'!K22</f>
        <v>59550</v>
      </c>
      <c r="L5" s="20">
        <f>'Monthly P&amp;L'!L22</f>
        <v>67200</v>
      </c>
      <c r="M5" s="20">
        <f>'Monthly P&amp;L'!M22</f>
        <v>75150</v>
      </c>
      <c r="N5" s="20">
        <f>SUM(B5:M5)</f>
        <v>444300</v>
      </c>
    </row>
    <row r="7" spans="1:14" ht="15" customHeight="1" x14ac:dyDescent="0.3">
      <c r="A7" s="1" t="s">
        <v>128</v>
      </c>
    </row>
    <row r="8" spans="1:14" ht="15" customHeight="1" x14ac:dyDescent="0.3">
      <c r="A8" s="1" t="s">
        <v>129</v>
      </c>
      <c r="B8" s="20">
        <f>'Monthly P&amp;L'!B27</f>
        <v>2265</v>
      </c>
      <c r="C8" s="20">
        <f>'Monthly P&amp;L'!C27</f>
        <v>3750</v>
      </c>
      <c r="D8" s="20">
        <f>'Monthly P&amp;L'!D27</f>
        <v>5145</v>
      </c>
      <c r="E8" s="20">
        <f>'Monthly P&amp;L'!E27</f>
        <v>6585</v>
      </c>
      <c r="F8" s="20">
        <f>'Monthly P&amp;L'!F27</f>
        <v>8205</v>
      </c>
      <c r="G8" s="20">
        <f>'Monthly P&amp;L'!G27</f>
        <v>10005</v>
      </c>
      <c r="H8" s="20">
        <f>'Monthly P&amp;L'!H27</f>
        <v>11940</v>
      </c>
      <c r="I8" s="20">
        <f>'Monthly P&amp;L'!I27</f>
        <v>14010</v>
      </c>
      <c r="J8" s="20">
        <f>'Monthly P&amp;L'!J27</f>
        <v>16215</v>
      </c>
      <c r="K8" s="20">
        <f>'Monthly P&amp;L'!K27</f>
        <v>18465</v>
      </c>
      <c r="L8" s="20">
        <f>'Monthly P&amp;L'!L27</f>
        <v>20760</v>
      </c>
      <c r="M8" s="20">
        <f>'Monthly P&amp;L'!M27</f>
        <v>23145</v>
      </c>
    </row>
    <row r="9" spans="1:14" ht="15" customHeight="1" x14ac:dyDescent="0.3">
      <c r="A9" s="1" t="s">
        <v>130</v>
      </c>
      <c r="B9" s="20">
        <f>'Monthly P&amp;L'!B36</f>
        <v>6500</v>
      </c>
      <c r="C9" s="20">
        <f>'Monthly P&amp;L'!C36</f>
        <v>4500</v>
      </c>
      <c r="D9" s="20">
        <f>'Monthly P&amp;L'!D36</f>
        <v>4500</v>
      </c>
      <c r="E9" s="20">
        <f>'Monthly P&amp;L'!E36</f>
        <v>4500</v>
      </c>
      <c r="F9" s="20">
        <f>'Monthly P&amp;L'!F36</f>
        <v>4500</v>
      </c>
      <c r="G9" s="20">
        <f>'Monthly P&amp;L'!G36</f>
        <v>7000</v>
      </c>
      <c r="H9" s="20">
        <f>'Monthly P&amp;L'!H36</f>
        <v>6000</v>
      </c>
      <c r="I9" s="20">
        <f>'Monthly P&amp;L'!I36</f>
        <v>6000</v>
      </c>
      <c r="J9" s="20">
        <f>'Monthly P&amp;L'!J36</f>
        <v>6000</v>
      </c>
      <c r="K9" s="20">
        <f>'Monthly P&amp;L'!K36</f>
        <v>8500</v>
      </c>
      <c r="L9" s="20">
        <f>'Monthly P&amp;L'!L36</f>
        <v>7500</v>
      </c>
      <c r="M9" s="20">
        <f>'Monthly P&amp;L'!M36</f>
        <v>7500</v>
      </c>
    </row>
    <row r="10" spans="1:14" ht="15" customHeight="1" x14ac:dyDescent="0.3">
      <c r="A10" s="1" t="s">
        <v>131</v>
      </c>
      <c r="B10" s="20">
        <f>'Monthly P&amp;L'!B41</f>
        <v>0</v>
      </c>
      <c r="C10" s="20">
        <f>'Monthly P&amp;L'!C41</f>
        <v>337.5</v>
      </c>
      <c r="D10" s="20">
        <f>'Monthly P&amp;L'!D41</f>
        <v>825.75</v>
      </c>
      <c r="E10" s="20">
        <f>'Monthly P&amp;L'!E41</f>
        <v>1329.75</v>
      </c>
      <c r="F10" s="20">
        <f>'Monthly P&amp;L'!F41</f>
        <v>1896.75</v>
      </c>
      <c r="G10" s="20">
        <f>'Monthly P&amp;L'!G41</f>
        <v>2151.75</v>
      </c>
      <c r="H10" s="20">
        <f>'Monthly P&amp;L'!H41</f>
        <v>2979</v>
      </c>
      <c r="I10" s="20">
        <f>'Monthly P&amp;L'!I41</f>
        <v>3703.5</v>
      </c>
      <c r="J10" s="20">
        <f>'Monthly P&amp;L'!J41</f>
        <v>4475.25</v>
      </c>
      <c r="K10" s="20">
        <f>'Monthly P&amp;L'!K41</f>
        <v>4887.75</v>
      </c>
      <c r="L10" s="20">
        <f>'Monthly P&amp;L'!L41</f>
        <v>5841</v>
      </c>
      <c r="M10" s="20">
        <f>'Monthly P&amp;L'!M41</f>
        <v>6675.75</v>
      </c>
    </row>
    <row r="11" spans="1:14" ht="15" customHeight="1" x14ac:dyDescent="0.3">
      <c r="A11" s="1" t="s">
        <v>132</v>
      </c>
      <c r="B11" s="20">
        <f t="shared" ref="B11:M11" si="1">B8+B9+B10</f>
        <v>8765</v>
      </c>
      <c r="C11" s="20">
        <f t="shared" si="1"/>
        <v>8587.5</v>
      </c>
      <c r="D11" s="20">
        <f t="shared" si="1"/>
        <v>10470.75</v>
      </c>
      <c r="E11" s="20">
        <f t="shared" si="1"/>
        <v>12414.75</v>
      </c>
      <c r="F11" s="20">
        <f t="shared" si="1"/>
        <v>14601.75</v>
      </c>
      <c r="G11" s="20">
        <f t="shared" si="1"/>
        <v>19156.75</v>
      </c>
      <c r="H11" s="20">
        <f t="shared" si="1"/>
        <v>20919</v>
      </c>
      <c r="I11" s="20">
        <f t="shared" si="1"/>
        <v>23713.5</v>
      </c>
      <c r="J11" s="20">
        <f t="shared" si="1"/>
        <v>26690.25</v>
      </c>
      <c r="K11" s="20">
        <f t="shared" si="1"/>
        <v>31852.75</v>
      </c>
      <c r="L11" s="20">
        <f t="shared" si="1"/>
        <v>34101</v>
      </c>
      <c r="M11" s="20">
        <f t="shared" si="1"/>
        <v>37320.75</v>
      </c>
      <c r="N11" s="20">
        <f>SUM(B11:M11)</f>
        <v>248593.75</v>
      </c>
    </row>
    <row r="13" spans="1:14" ht="15" customHeight="1" x14ac:dyDescent="0.3">
      <c r="A13" s="1" t="s">
        <v>133</v>
      </c>
      <c r="B13" s="20">
        <f t="shared" ref="B13:M13" si="2">B5-B11</f>
        <v>-3215</v>
      </c>
      <c r="C13" s="20">
        <f t="shared" si="2"/>
        <v>1912.5</v>
      </c>
      <c r="D13" s="20">
        <f t="shared" si="2"/>
        <v>4679.25</v>
      </c>
      <c r="E13" s="20">
        <f t="shared" si="2"/>
        <v>7535.25</v>
      </c>
      <c r="F13" s="20">
        <f t="shared" si="2"/>
        <v>10748.25</v>
      </c>
      <c r="G13" s="20">
        <f t="shared" si="2"/>
        <v>12193.25</v>
      </c>
      <c r="H13" s="20">
        <f t="shared" si="2"/>
        <v>16881</v>
      </c>
      <c r="I13" s="20">
        <f t="shared" si="2"/>
        <v>20986.5</v>
      </c>
      <c r="J13" s="20">
        <f t="shared" si="2"/>
        <v>25359.75</v>
      </c>
      <c r="K13" s="20">
        <f t="shared" si="2"/>
        <v>27697.25</v>
      </c>
      <c r="L13" s="20">
        <f t="shared" si="2"/>
        <v>33099</v>
      </c>
      <c r="M13" s="20">
        <f t="shared" si="2"/>
        <v>37829.25</v>
      </c>
      <c r="N13" s="20">
        <f>SUM(B13:M13)</f>
        <v>195706.25</v>
      </c>
    </row>
    <row r="14" spans="1:14" ht="15" customHeight="1" x14ac:dyDescent="0.3">
      <c r="A14" s="1" t="s">
        <v>134</v>
      </c>
      <c r="B14" s="20">
        <f t="shared" ref="B14:M14" si="3">B3+B13</f>
        <v>36785</v>
      </c>
      <c r="C14" s="20">
        <f t="shared" si="3"/>
        <v>38697.5</v>
      </c>
      <c r="D14" s="20">
        <f t="shared" si="3"/>
        <v>43376.75</v>
      </c>
      <c r="E14" s="20">
        <f t="shared" si="3"/>
        <v>50912</v>
      </c>
      <c r="F14" s="20">
        <f t="shared" si="3"/>
        <v>61660.25</v>
      </c>
      <c r="G14" s="20">
        <f t="shared" si="3"/>
        <v>73853.5</v>
      </c>
      <c r="H14" s="20">
        <f t="shared" si="3"/>
        <v>90734.5</v>
      </c>
      <c r="I14" s="20">
        <f t="shared" si="3"/>
        <v>111721</v>
      </c>
      <c r="J14" s="20">
        <f t="shared" si="3"/>
        <v>137080.75</v>
      </c>
      <c r="K14" s="20">
        <f t="shared" si="3"/>
        <v>164778</v>
      </c>
      <c r="L14" s="20">
        <f t="shared" si="3"/>
        <v>197877</v>
      </c>
      <c r="M14" s="20">
        <f t="shared" si="3"/>
        <v>235706.25</v>
      </c>
      <c r="N14" s="20">
        <f>M14</f>
        <v>235706.25</v>
      </c>
    </row>
    <row r="16" spans="1:14" ht="15" customHeight="1" x14ac:dyDescent="0.3">
      <c r="A16" s="3" t="s">
        <v>135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3" ht="15" customHeight="1" x14ac:dyDescent="0.3">
      <c r="A17" s="1" t="s">
        <v>136</v>
      </c>
      <c r="B17" s="20">
        <f t="shared" ref="B17:M17" si="4">IF(B13&gt;=0,"∞",IF(B11=0,0,B14/(-B13)))</f>
        <v>11.441679626749611</v>
      </c>
      <c r="C17" s="1" t="str">
        <f t="shared" si="4"/>
        <v>∞</v>
      </c>
      <c r="D17" s="1" t="str">
        <f t="shared" si="4"/>
        <v>∞</v>
      </c>
      <c r="E17" s="1" t="str">
        <f t="shared" si="4"/>
        <v>∞</v>
      </c>
      <c r="F17" s="1" t="str">
        <f t="shared" si="4"/>
        <v>∞</v>
      </c>
      <c r="G17" s="1" t="str">
        <f t="shared" si="4"/>
        <v>∞</v>
      </c>
      <c r="H17" s="1" t="str">
        <f t="shared" si="4"/>
        <v>∞</v>
      </c>
      <c r="I17" s="1" t="str">
        <f t="shared" si="4"/>
        <v>∞</v>
      </c>
      <c r="J17" s="1" t="str">
        <f t="shared" si="4"/>
        <v>∞</v>
      </c>
      <c r="K17" s="1" t="str">
        <f t="shared" si="4"/>
        <v>∞</v>
      </c>
      <c r="L17" s="1" t="str">
        <f t="shared" si="4"/>
        <v>∞</v>
      </c>
      <c r="M17" s="1" t="str">
        <f t="shared" si="4"/>
        <v>∞</v>
      </c>
    </row>
    <row r="18" spans="1:13" ht="15" customHeight="1" x14ac:dyDescent="0.3">
      <c r="A18" s="1" t="s">
        <v>137</v>
      </c>
      <c r="B18" s="1" t="str">
        <f t="shared" ref="B18:M18" si="5">IF(B13&gt;=0,"YES","NO")</f>
        <v>NO</v>
      </c>
      <c r="C18" s="1" t="str">
        <f t="shared" si="5"/>
        <v>YES</v>
      </c>
      <c r="D18" s="1" t="str">
        <f t="shared" si="5"/>
        <v>YES</v>
      </c>
      <c r="E18" s="1" t="str">
        <f t="shared" si="5"/>
        <v>YES</v>
      </c>
      <c r="F18" s="1" t="str">
        <f t="shared" si="5"/>
        <v>YES</v>
      </c>
      <c r="G18" s="1" t="str">
        <f t="shared" si="5"/>
        <v>YES</v>
      </c>
      <c r="H18" s="1" t="str">
        <f t="shared" si="5"/>
        <v>YES</v>
      </c>
      <c r="I18" s="1" t="str">
        <f t="shared" si="5"/>
        <v>YES</v>
      </c>
      <c r="J18" s="1" t="str">
        <f t="shared" si="5"/>
        <v>YES</v>
      </c>
      <c r="K18" s="1" t="str">
        <f t="shared" si="5"/>
        <v>YES</v>
      </c>
      <c r="L18" s="1" t="str">
        <f t="shared" si="5"/>
        <v>YES</v>
      </c>
      <c r="M18" s="1" t="str">
        <f t="shared" si="5"/>
        <v>YES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opLeftCell="A34" zoomScaleNormal="100" workbookViewId="0"/>
  </sheetViews>
  <sheetFormatPr defaultColWidth="8.6640625" defaultRowHeight="14.4" x14ac:dyDescent="0.3"/>
  <cols>
    <col min="1" max="1" width="35" customWidth="1"/>
    <col min="2" max="2" width="12" customWidth="1"/>
    <col min="3" max="3" width="8" customWidth="1"/>
    <col min="4" max="4" width="35" customWidth="1"/>
  </cols>
  <sheetData>
    <row r="1" spans="1:4" x14ac:dyDescent="0.3">
      <c r="A1" s="29" t="s">
        <v>138</v>
      </c>
      <c r="B1" s="30"/>
      <c r="C1" s="30"/>
      <c r="D1" s="30"/>
    </row>
    <row r="2" spans="1:4" x14ac:dyDescent="0.3">
      <c r="A2" s="31" t="s">
        <v>139</v>
      </c>
      <c r="B2" s="31" t="s">
        <v>140</v>
      </c>
      <c r="C2" s="31" t="s">
        <v>141</v>
      </c>
      <c r="D2" s="31" t="s">
        <v>142</v>
      </c>
    </row>
    <row r="4" spans="1:4" x14ac:dyDescent="0.3">
      <c r="A4" s="31" t="s">
        <v>143</v>
      </c>
      <c r="B4" s="32"/>
      <c r="C4" s="32"/>
      <c r="D4" s="32"/>
    </row>
    <row r="5" spans="1:4" x14ac:dyDescent="0.3">
      <c r="A5" t="s">
        <v>144</v>
      </c>
      <c r="B5" s="33">
        <v>19500</v>
      </c>
      <c r="D5" t="s">
        <v>145</v>
      </c>
    </row>
    <row r="6" spans="1:4" x14ac:dyDescent="0.3">
      <c r="A6" t="s">
        <v>146</v>
      </c>
      <c r="B6" s="33">
        <v>9000</v>
      </c>
      <c r="D6" t="s">
        <v>147</v>
      </c>
    </row>
    <row r="7" spans="1:4" x14ac:dyDescent="0.3">
      <c r="A7" s="34" t="s">
        <v>148</v>
      </c>
      <c r="B7" s="35">
        <f>B5+B6</f>
        <v>28500</v>
      </c>
      <c r="C7" s="36">
        <f>B7/40000</f>
        <v>0.71250000000000002</v>
      </c>
      <c r="D7" s="37"/>
    </row>
    <row r="9" spans="1:4" x14ac:dyDescent="0.3">
      <c r="A9" s="31" t="s">
        <v>149</v>
      </c>
      <c r="B9" s="32"/>
      <c r="C9" s="32"/>
      <c r="D9" s="32"/>
    </row>
    <row r="10" spans="1:4" x14ac:dyDescent="0.3">
      <c r="A10" t="s">
        <v>150</v>
      </c>
      <c r="B10" s="33">
        <v>5000</v>
      </c>
      <c r="D10" t="s">
        <v>151</v>
      </c>
    </row>
    <row r="11" spans="1:4" x14ac:dyDescent="0.3">
      <c r="A11" t="s">
        <v>152</v>
      </c>
      <c r="B11" s="33">
        <v>1500</v>
      </c>
      <c r="D11" t="s">
        <v>153</v>
      </c>
    </row>
    <row r="12" spans="1:4" x14ac:dyDescent="0.3">
      <c r="A12" t="s">
        <v>154</v>
      </c>
      <c r="B12" s="33">
        <v>1000</v>
      </c>
      <c r="D12" t="s">
        <v>155</v>
      </c>
    </row>
    <row r="13" spans="1:4" x14ac:dyDescent="0.3">
      <c r="A13" s="34" t="s">
        <v>156</v>
      </c>
      <c r="B13" s="35">
        <f>B10+B11+B12</f>
        <v>7500</v>
      </c>
      <c r="C13" s="36">
        <f>B13/40000</f>
        <v>0.1875</v>
      </c>
      <c r="D13" s="37"/>
    </row>
    <row r="15" spans="1:4" x14ac:dyDescent="0.3">
      <c r="A15" s="31" t="s">
        <v>157</v>
      </c>
      <c r="B15" s="32"/>
      <c r="C15" s="32"/>
      <c r="D15" s="32"/>
    </row>
    <row r="16" spans="1:4" x14ac:dyDescent="0.3">
      <c r="A16" t="s">
        <v>158</v>
      </c>
      <c r="B16" s="33">
        <v>3000</v>
      </c>
      <c r="D16" t="s">
        <v>159</v>
      </c>
    </row>
    <row r="17" spans="1:4" x14ac:dyDescent="0.3">
      <c r="A17" t="s">
        <v>160</v>
      </c>
      <c r="B17" s="33">
        <v>1000</v>
      </c>
      <c r="D17" t="s">
        <v>161</v>
      </c>
    </row>
    <row r="18" spans="1:4" x14ac:dyDescent="0.3">
      <c r="A18" s="34" t="s">
        <v>162</v>
      </c>
      <c r="B18" s="35">
        <f>B16+B17</f>
        <v>4000</v>
      </c>
      <c r="C18" s="36">
        <f>B18/40000</f>
        <v>0.1</v>
      </c>
      <c r="D18" s="37"/>
    </row>
    <row r="20" spans="1:4" x14ac:dyDescent="0.3">
      <c r="A20" s="29" t="s">
        <v>163</v>
      </c>
      <c r="B20" s="38">
        <f>B7+B13+B18</f>
        <v>40000</v>
      </c>
      <c r="C20" s="39">
        <f>B20/40000</f>
        <v>1</v>
      </c>
      <c r="D20" s="29"/>
    </row>
    <row r="22" spans="1:4" x14ac:dyDescent="0.3">
      <c r="A22" s="40" t="s">
        <v>164</v>
      </c>
      <c r="B22" t="s">
        <v>165</v>
      </c>
    </row>
    <row r="25" spans="1:4" x14ac:dyDescent="0.3">
      <c r="A25" s="29" t="s">
        <v>166</v>
      </c>
      <c r="B25" s="30"/>
      <c r="C25" s="30"/>
      <c r="D25" s="30"/>
    </row>
    <row r="26" spans="1:4" x14ac:dyDescent="0.3">
      <c r="A26" s="31" t="s">
        <v>139</v>
      </c>
      <c r="B26" s="31" t="s">
        <v>140</v>
      </c>
      <c r="C26" s="31" t="s">
        <v>141</v>
      </c>
      <c r="D26" s="31" t="s">
        <v>142</v>
      </c>
    </row>
    <row r="28" spans="1:4" x14ac:dyDescent="0.3">
      <c r="A28" s="31" t="s">
        <v>167</v>
      </c>
      <c r="B28" s="32"/>
      <c r="C28" s="32"/>
      <c r="D28" s="32"/>
    </row>
    <row r="29" spans="1:4" x14ac:dyDescent="0.3">
      <c r="A29" t="s">
        <v>168</v>
      </c>
      <c r="B29" s="33">
        <v>80000</v>
      </c>
      <c r="D29" t="s">
        <v>169</v>
      </c>
    </row>
    <row r="30" spans="1:4" x14ac:dyDescent="0.3">
      <c r="A30" t="s">
        <v>170</v>
      </c>
      <c r="B30" s="33">
        <v>30000</v>
      </c>
      <c r="D30" t="s">
        <v>171</v>
      </c>
    </row>
    <row r="31" spans="1:4" x14ac:dyDescent="0.3">
      <c r="A31" t="s">
        <v>172</v>
      </c>
      <c r="B31" s="33">
        <v>10000</v>
      </c>
      <c r="D31" t="s">
        <v>173</v>
      </c>
    </row>
    <row r="32" spans="1:4" x14ac:dyDescent="0.3">
      <c r="A32" s="34" t="s">
        <v>174</v>
      </c>
      <c r="B32" s="35">
        <f>B29+B30+B31</f>
        <v>120000</v>
      </c>
      <c r="C32" s="36">
        <f>B32/200000</f>
        <v>0.6</v>
      </c>
      <c r="D32" s="37"/>
    </row>
    <row r="34" spans="1:4" x14ac:dyDescent="0.3">
      <c r="A34" s="31" t="s">
        <v>143</v>
      </c>
      <c r="B34" s="32"/>
      <c r="C34" s="32"/>
      <c r="D34" s="32"/>
    </row>
    <row r="35" spans="1:4" x14ac:dyDescent="0.3">
      <c r="A35" t="s">
        <v>146</v>
      </c>
      <c r="B35" s="33">
        <v>12000</v>
      </c>
      <c r="D35" t="s">
        <v>175</v>
      </c>
    </row>
    <row r="36" spans="1:4" x14ac:dyDescent="0.3">
      <c r="A36" t="s">
        <v>176</v>
      </c>
      <c r="B36" s="33">
        <v>48000</v>
      </c>
      <c r="D36" t="s">
        <v>177</v>
      </c>
    </row>
    <row r="37" spans="1:4" x14ac:dyDescent="0.3">
      <c r="A37" s="34" t="s">
        <v>148</v>
      </c>
      <c r="B37" s="35">
        <f>B35+B36</f>
        <v>60000</v>
      </c>
      <c r="C37" s="36">
        <f>B37/200000</f>
        <v>0.3</v>
      </c>
      <c r="D37" s="37"/>
    </row>
    <row r="39" spans="1:4" x14ac:dyDescent="0.3">
      <c r="A39" s="31" t="s">
        <v>149</v>
      </c>
      <c r="B39" s="32"/>
      <c r="C39" s="32"/>
      <c r="D39" s="32"/>
    </row>
    <row r="40" spans="1:4" x14ac:dyDescent="0.3">
      <c r="A40" t="s">
        <v>178</v>
      </c>
      <c r="B40" s="33">
        <v>3000</v>
      </c>
      <c r="D40" t="s">
        <v>179</v>
      </c>
    </row>
    <row r="41" spans="1:4" x14ac:dyDescent="0.3">
      <c r="A41" t="s">
        <v>152</v>
      </c>
      <c r="B41" s="33">
        <v>2000</v>
      </c>
      <c r="D41" t="s">
        <v>180</v>
      </c>
    </row>
    <row r="42" spans="1:4" x14ac:dyDescent="0.3">
      <c r="A42" t="s">
        <v>181</v>
      </c>
      <c r="B42" s="33">
        <v>3000</v>
      </c>
      <c r="D42" t="s">
        <v>182</v>
      </c>
    </row>
    <row r="43" spans="1:4" x14ac:dyDescent="0.3">
      <c r="A43" s="34" t="s">
        <v>156</v>
      </c>
      <c r="B43" s="35">
        <f>B40+B41+B42</f>
        <v>8000</v>
      </c>
      <c r="C43" s="36">
        <f>B43/200000</f>
        <v>0.04</v>
      </c>
      <c r="D43" s="37"/>
    </row>
    <row r="45" spans="1:4" x14ac:dyDescent="0.3">
      <c r="A45" s="31" t="s">
        <v>183</v>
      </c>
      <c r="B45" s="32"/>
      <c r="C45" s="32"/>
      <c r="D45" s="32"/>
    </row>
    <row r="46" spans="1:4" x14ac:dyDescent="0.3">
      <c r="A46" t="s">
        <v>184</v>
      </c>
      <c r="B46" s="33">
        <v>7000</v>
      </c>
      <c r="D46" t="s">
        <v>185</v>
      </c>
    </row>
    <row r="47" spans="1:4" x14ac:dyDescent="0.3">
      <c r="A47" t="s">
        <v>186</v>
      </c>
      <c r="B47" s="33">
        <v>3000</v>
      </c>
      <c r="D47" t="s">
        <v>187</v>
      </c>
    </row>
    <row r="48" spans="1:4" x14ac:dyDescent="0.3">
      <c r="A48" t="s">
        <v>188</v>
      </c>
      <c r="B48" s="33">
        <v>2000</v>
      </c>
      <c r="D48" t="s">
        <v>189</v>
      </c>
    </row>
    <row r="49" spans="1:4" x14ac:dyDescent="0.3">
      <c r="A49" s="34" t="s">
        <v>190</v>
      </c>
      <c r="B49" s="35">
        <f>B46+B47+B48</f>
        <v>12000</v>
      </c>
      <c r="C49" s="36">
        <f>B49/200000</f>
        <v>0.06</v>
      </c>
      <c r="D49" s="37"/>
    </row>
    <row r="51" spans="1:4" x14ac:dyDescent="0.3">
      <c r="A51" s="29" t="s">
        <v>191</v>
      </c>
      <c r="B51" s="38">
        <f>B32+B37+B43+B49</f>
        <v>200000</v>
      </c>
      <c r="C51" s="39">
        <f>B51/200000</f>
        <v>1</v>
      </c>
      <c r="D51" s="29"/>
    </row>
    <row r="53" spans="1:4" x14ac:dyDescent="0.3">
      <c r="A53" s="40" t="s">
        <v>164</v>
      </c>
      <c r="B53" t="s">
        <v>192</v>
      </c>
    </row>
    <row r="56" spans="1:4" x14ac:dyDescent="0.3">
      <c r="A56" s="29" t="s">
        <v>193</v>
      </c>
      <c r="B56" s="30"/>
      <c r="C56" s="30"/>
      <c r="D56" s="30"/>
    </row>
    <row r="57" spans="1:4" x14ac:dyDescent="0.3">
      <c r="B57" s="31" t="s">
        <v>194</v>
      </c>
      <c r="C57" s="31" t="s">
        <v>195</v>
      </c>
      <c r="D57" s="31" t="s">
        <v>196</v>
      </c>
    </row>
    <row r="58" spans="1:4" x14ac:dyDescent="0.3">
      <c r="A58" t="s">
        <v>197</v>
      </c>
      <c r="B58" s="33">
        <f>B20</f>
        <v>40000</v>
      </c>
      <c r="C58" s="33">
        <f>B51</f>
        <v>200000</v>
      </c>
      <c r="D58" s="33">
        <f>B58+C58</f>
        <v>240000</v>
      </c>
    </row>
    <row r="59" spans="1:4" x14ac:dyDescent="0.3">
      <c r="A59" t="s">
        <v>198</v>
      </c>
      <c r="B59" t="s">
        <v>199</v>
      </c>
      <c r="C59" t="s">
        <v>200</v>
      </c>
      <c r="D59" t="s">
        <v>201</v>
      </c>
    </row>
    <row r="60" spans="1:4" x14ac:dyDescent="0.3">
      <c r="A60" t="s">
        <v>202</v>
      </c>
      <c r="B60" t="s">
        <v>203</v>
      </c>
      <c r="C60" t="s">
        <v>204</v>
      </c>
      <c r="D60" t="s">
        <v>205</v>
      </c>
    </row>
    <row r="62" spans="1:4" x14ac:dyDescent="0.3">
      <c r="A62" s="40" t="s">
        <v>206</v>
      </c>
    </row>
    <row r="63" spans="1:4" x14ac:dyDescent="0.3">
      <c r="A63" t="s">
        <v>207</v>
      </c>
      <c r="B63" s="33">
        <f>B58/0.1</f>
        <v>400000</v>
      </c>
      <c r="D63" t="s">
        <v>208</v>
      </c>
    </row>
    <row r="64" spans="1:4" x14ac:dyDescent="0.3">
      <c r="A64" t="s">
        <v>209</v>
      </c>
      <c r="B64" s="33">
        <f>D58/0.25</f>
        <v>960000</v>
      </c>
      <c r="D64" t="s">
        <v>210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Normal="100" workbookViewId="0"/>
  </sheetViews>
  <sheetFormatPr defaultColWidth="8.6640625" defaultRowHeight="14.4" x14ac:dyDescent="0.3"/>
  <cols>
    <col min="1" max="1" width="25" style="1" customWidth="1"/>
    <col min="2" max="2" width="15" style="1" customWidth="1"/>
    <col min="3" max="3" width="12" style="1" customWidth="1"/>
    <col min="4" max="4" width="40" style="1" customWidth="1"/>
    <col min="5" max="5" width="30" style="1" customWidth="1"/>
  </cols>
  <sheetData>
    <row r="1" spans="1:5" ht="15" customHeight="1" x14ac:dyDescent="0.3">
      <c r="A1" s="22" t="s">
        <v>211</v>
      </c>
      <c r="B1" s="22" t="s">
        <v>140</v>
      </c>
      <c r="C1" s="22" t="s">
        <v>198</v>
      </c>
      <c r="D1" s="22" t="s">
        <v>212</v>
      </c>
      <c r="E1" s="22" t="s">
        <v>213</v>
      </c>
    </row>
    <row r="2" spans="1:5" ht="15" customHeight="1" x14ac:dyDescent="0.3">
      <c r="A2" s="1" t="s">
        <v>214</v>
      </c>
      <c r="B2" s="20">
        <v>40000</v>
      </c>
      <c r="C2" s="1" t="s">
        <v>199</v>
      </c>
      <c r="D2" s="1" t="s">
        <v>215</v>
      </c>
      <c r="E2" s="1" t="s">
        <v>216</v>
      </c>
    </row>
    <row r="3" spans="1:5" ht="15" customHeight="1" x14ac:dyDescent="0.3">
      <c r="A3" s="1" t="s">
        <v>195</v>
      </c>
      <c r="B3" s="20">
        <v>200000</v>
      </c>
      <c r="C3" s="1" t="s">
        <v>200</v>
      </c>
      <c r="D3" s="1" t="s">
        <v>217</v>
      </c>
      <c r="E3" s="1" t="s">
        <v>218</v>
      </c>
    </row>
    <row r="4" spans="1:5" ht="15" customHeight="1" x14ac:dyDescent="0.3">
      <c r="A4" s="1" t="s">
        <v>219</v>
      </c>
      <c r="B4" s="20">
        <v>1000000</v>
      </c>
      <c r="C4" s="1" t="s">
        <v>200</v>
      </c>
      <c r="D4" s="1" t="s">
        <v>220</v>
      </c>
      <c r="E4" s="1" t="s">
        <v>221</v>
      </c>
    </row>
    <row r="7" spans="1:5" ht="15" customHeight="1" x14ac:dyDescent="0.3">
      <c r="A7" s="3" t="s">
        <v>222</v>
      </c>
      <c r="B7" s="4"/>
      <c r="C7" s="4"/>
      <c r="D7" s="4"/>
      <c r="E7" s="4"/>
    </row>
    <row r="8" spans="1:5" ht="15" customHeight="1" x14ac:dyDescent="0.3">
      <c r="A8" s="1" t="s">
        <v>223</v>
      </c>
      <c r="B8" s="20">
        <f>'Monthly P&amp;L'!N34</f>
        <v>18000</v>
      </c>
    </row>
    <row r="9" spans="1:5" ht="15" customHeight="1" x14ac:dyDescent="0.3">
      <c r="A9" s="1" t="s">
        <v>224</v>
      </c>
      <c r="B9" s="20">
        <f>'Monthly P&amp;L'!N33</f>
        <v>51000</v>
      </c>
    </row>
    <row r="10" spans="1:5" ht="15" customHeight="1" x14ac:dyDescent="0.3">
      <c r="A10" s="1" t="s">
        <v>40</v>
      </c>
      <c r="B10" s="20">
        <f>'Monthly P&amp;L'!N35</f>
        <v>4000</v>
      </c>
    </row>
    <row r="11" spans="1:5" ht="15" customHeight="1" x14ac:dyDescent="0.3">
      <c r="A11" s="1" t="s">
        <v>225</v>
      </c>
      <c r="B11" s="20">
        <f>'Monthly P&amp;L'!N26</f>
        <v>111075</v>
      </c>
    </row>
    <row r="12" spans="1:5" ht="15" customHeight="1" x14ac:dyDescent="0.3">
      <c r="A12" s="1" t="s">
        <v>226</v>
      </c>
      <c r="B12" s="20">
        <f>'Monthly P&amp;L'!N25</f>
        <v>29415</v>
      </c>
    </row>
    <row r="13" spans="1:5" ht="15" customHeight="1" x14ac:dyDescent="0.3">
      <c r="A13" s="1" t="s">
        <v>66</v>
      </c>
      <c r="B13" s="14">
        <f>'Monthly P&amp;L'!N27+'Monthly P&amp;L'!N36</f>
        <v>213490</v>
      </c>
    </row>
    <row r="14" spans="1:5" ht="15" customHeight="1" x14ac:dyDescent="0.3">
      <c r="B14" s="20"/>
    </row>
    <row r="15" spans="1:5" ht="15" customHeight="1" x14ac:dyDescent="0.3">
      <c r="A15" s="1" t="s">
        <v>227</v>
      </c>
      <c r="B15" s="20">
        <f>'Monthly P&amp;L'!N22</f>
        <v>444300</v>
      </c>
    </row>
    <row r="16" spans="1:5" ht="15" customHeight="1" x14ac:dyDescent="0.3">
      <c r="A16" s="1" t="s">
        <v>228</v>
      </c>
      <c r="B16" s="14">
        <f>'Monthly P&amp;L'!N42</f>
        <v>195706.25</v>
      </c>
    </row>
    <row r="17" spans="1:2" ht="15" customHeight="1" x14ac:dyDescent="0.3">
      <c r="B17" s="20"/>
    </row>
    <row r="18" spans="1:2" ht="15" customHeight="1" x14ac:dyDescent="0.3">
      <c r="A18" s="1" t="s">
        <v>229</v>
      </c>
      <c r="B18" s="20">
        <f>MIN('Cash Flow'!B14:M14)-'Cash Flow'!B3</f>
        <v>-3215</v>
      </c>
    </row>
    <row r="19" spans="1:2" ht="15" customHeight="1" x14ac:dyDescent="0.3">
      <c r="A19" s="1" t="s">
        <v>230</v>
      </c>
      <c r="B19" s="20">
        <v>40000</v>
      </c>
    </row>
    <row r="20" spans="1:2" ht="15" customHeight="1" x14ac:dyDescent="0.3">
      <c r="A20" s="1" t="s">
        <v>231</v>
      </c>
      <c r="B20" s="20">
        <f>B19-ABS(B18)</f>
        <v>36785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22" style="1" customWidth="1"/>
    <col min="2" max="4" width="15" style="1" customWidth="1"/>
  </cols>
  <sheetData>
    <row r="1" spans="1:4" ht="15" customHeight="1" x14ac:dyDescent="0.3">
      <c r="A1" s="22"/>
      <c r="B1" s="22" t="s">
        <v>232</v>
      </c>
      <c r="C1" s="22" t="s">
        <v>233</v>
      </c>
      <c r="D1" s="22" t="s">
        <v>234</v>
      </c>
    </row>
    <row r="2" spans="1:4" ht="15" customHeight="1" x14ac:dyDescent="0.3">
      <c r="A2" s="3" t="s">
        <v>235</v>
      </c>
      <c r="B2" s="4"/>
      <c r="C2" s="4"/>
      <c r="D2" s="4"/>
    </row>
    <row r="3" spans="1:4" ht="15" customHeight="1" x14ac:dyDescent="0.3">
      <c r="A3" s="1" t="s">
        <v>236</v>
      </c>
      <c r="B3" s="17">
        <f>'Monthly P&amp;L'!M18</f>
        <v>264</v>
      </c>
      <c r="C3" s="17">
        <v>442</v>
      </c>
      <c r="D3" s="17">
        <v>685</v>
      </c>
    </row>
    <row r="4" spans="1:4" ht="15" customHeight="1" x14ac:dyDescent="0.3">
      <c r="A4" s="1" t="s">
        <v>20</v>
      </c>
      <c r="B4" s="17">
        <f>'Monthly P&amp;L'!M10</f>
        <v>15</v>
      </c>
      <c r="C4" s="17">
        <v>20</v>
      </c>
      <c r="D4" s="17">
        <v>30</v>
      </c>
    </row>
    <row r="5" spans="1:4" ht="15" customHeight="1" x14ac:dyDescent="0.3">
      <c r="A5" s="1" t="s">
        <v>21</v>
      </c>
      <c r="B5" s="17">
        <f>'Monthly P&amp;L'!M11</f>
        <v>4</v>
      </c>
      <c r="C5" s="17">
        <v>6</v>
      </c>
      <c r="D5" s="17">
        <v>8</v>
      </c>
    </row>
    <row r="6" spans="1:4" ht="15" customHeight="1" x14ac:dyDescent="0.3">
      <c r="A6" s="1" t="s">
        <v>237</v>
      </c>
      <c r="B6" s="20">
        <f>'Monthly P&amp;L'!N22</f>
        <v>444300</v>
      </c>
      <c r="C6" s="20">
        <f>B3*12*300</f>
        <v>950400</v>
      </c>
      <c r="D6" s="20">
        <f>C3*12*300</f>
        <v>1591200</v>
      </c>
    </row>
    <row r="7" spans="1:4" ht="15" customHeight="1" x14ac:dyDescent="0.3">
      <c r="A7" s="1" t="s">
        <v>238</v>
      </c>
      <c r="B7" s="20">
        <f>'Monthly P&amp;L'!N29</f>
        <v>303810</v>
      </c>
      <c r="C7" s="20">
        <f>C6*0.63</f>
        <v>598752</v>
      </c>
      <c r="D7" s="20">
        <f>D6*0.63</f>
        <v>1002456</v>
      </c>
    </row>
    <row r="8" spans="1:4" ht="15" customHeight="1" x14ac:dyDescent="0.3">
      <c r="A8" s="1" t="s">
        <v>239</v>
      </c>
      <c r="B8" s="20">
        <f>'Monthly P&amp;L'!N42</f>
        <v>195706.25</v>
      </c>
      <c r="C8" s="20">
        <f>C7-100000</f>
        <v>498752</v>
      </c>
      <c r="D8" s="20">
        <f>D7-150000</f>
        <v>852456</v>
      </c>
    </row>
    <row r="9" spans="1:4" ht="15" customHeight="1" x14ac:dyDescent="0.3">
      <c r="A9" s="1" t="s">
        <v>240</v>
      </c>
      <c r="B9" s="18">
        <f>IF(B6=0,0,B8/B6)</f>
        <v>0.44048221922124692</v>
      </c>
      <c r="C9" s="18">
        <f>IF(C6=0,0,C8/C6)</f>
        <v>0.52478114478114479</v>
      </c>
      <c r="D9" s="18">
        <f>IF(D6=0,0,D8/D6)</f>
        <v>0.53573152337858221</v>
      </c>
    </row>
    <row r="10" spans="1:4" ht="15" customHeight="1" x14ac:dyDescent="0.3">
      <c r="A10" s="1" t="s">
        <v>241</v>
      </c>
      <c r="B10" s="20">
        <f>'Monthly P&amp;L'!B7*'Monthly P&amp;L'!B3</f>
        <v>15</v>
      </c>
      <c r="C10" s="20">
        <f>B10*0.5</f>
        <v>7.5</v>
      </c>
      <c r="D10" s="20">
        <f>C10</f>
        <v>7.5</v>
      </c>
    </row>
    <row r="11" spans="1:4" ht="15" customHeight="1" x14ac:dyDescent="0.3">
      <c r="A11" s="1" t="s">
        <v>242</v>
      </c>
      <c r="B11" s="17" t="s">
        <v>243</v>
      </c>
      <c r="C11" s="17" t="s">
        <v>244</v>
      </c>
      <c r="D11" s="17" t="s">
        <v>245</v>
      </c>
    </row>
    <row r="13" spans="1:4" ht="15" customHeight="1" x14ac:dyDescent="0.3">
      <c r="A13" s="3" t="s">
        <v>246</v>
      </c>
      <c r="B13" s="4"/>
      <c r="C13" s="4"/>
      <c r="D13" s="4"/>
    </row>
    <row r="14" spans="1:4" ht="15" customHeight="1" x14ac:dyDescent="0.3">
      <c r="A14" s="1" t="s">
        <v>247</v>
      </c>
      <c r="B14" s="19">
        <v>2.5</v>
      </c>
      <c r="C14" s="19">
        <v>3</v>
      </c>
      <c r="D14" s="19">
        <v>3.5</v>
      </c>
    </row>
    <row r="15" spans="1:4" ht="15" customHeight="1" x14ac:dyDescent="0.3">
      <c r="A15" s="1" t="s">
        <v>248</v>
      </c>
      <c r="B15" s="17">
        <f>B14*15*12*0.7</f>
        <v>315</v>
      </c>
      <c r="C15" s="17">
        <f>C14*15*12*0.7</f>
        <v>378</v>
      </c>
      <c r="D15" s="17">
        <f>D14*15*12*0.7</f>
        <v>441</v>
      </c>
    </row>
    <row r="16" spans="1:4" ht="15" customHeight="1" x14ac:dyDescent="0.3">
      <c r="A16" s="1" t="s">
        <v>249</v>
      </c>
      <c r="B16" s="17">
        <f>ROUND(B15*0.75,0)</f>
        <v>236</v>
      </c>
      <c r="C16" s="17">
        <f>ROUND(C15*0.75,0)</f>
        <v>284</v>
      </c>
      <c r="D16" s="17">
        <f>ROUND(D15*0.75,0)</f>
        <v>331</v>
      </c>
    </row>
    <row r="17" spans="1:4" ht="15" customHeight="1" x14ac:dyDescent="0.3">
      <c r="A17" s="1" t="s">
        <v>250</v>
      </c>
      <c r="B17" s="20">
        <f>(10+B16)/2*12*300</f>
        <v>442800</v>
      </c>
      <c r="C17" s="20">
        <f>(10+C16)/2*12*300</f>
        <v>529200</v>
      </c>
      <c r="D17" s="20">
        <f>(10+D16)/2*12*300</f>
        <v>613800</v>
      </c>
    </row>
    <row r="18" spans="1:4" ht="15" customHeight="1" x14ac:dyDescent="0.3">
      <c r="A18" s="1" t="s">
        <v>251</v>
      </c>
      <c r="B18" s="20">
        <f>B17*0.63-90000</f>
        <v>188964</v>
      </c>
      <c r="C18" s="20">
        <f>C17*0.63-90000</f>
        <v>243396</v>
      </c>
      <c r="D18" s="20">
        <f>D17*0.63-90000</f>
        <v>296694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 P&amp;L</vt:lpstr>
      <vt:lpstr>Client Growth</vt:lpstr>
      <vt:lpstr>Team &amp; Costs</vt:lpstr>
      <vt:lpstr>Unit Economics</vt:lpstr>
      <vt:lpstr>Cash Flow</vt:lpstr>
      <vt:lpstr>Use of Funds</vt:lpstr>
      <vt:lpstr>Investment Plan</vt:lpstr>
      <vt:lpstr>3-Year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2026-02-01T21:38:57Z</dcterms:created>
  <dcterms:modified xsi:type="dcterms:W3CDTF">2026-02-02T00:38:46Z</dcterms:modified>
  <dc:language>en-US</dc:language>
</cp:coreProperties>
</file>